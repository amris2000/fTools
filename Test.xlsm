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rede\Desktop\fUtility\"/>
    </mc:Choice>
  </mc:AlternateContent>
  <bookViews>
    <workbookView xWindow="35520" yWindow="0" windowWidth="28800" windowHeight="12420"/>
  </bookViews>
  <sheets>
    <sheet name="Sheet1" sheetId="1" r:id="rId1"/>
    <sheet name="SQLTest" sheetId="4" r:id="rId2"/>
    <sheet name="Sheet3" sheetId="3" r:id="rId3"/>
    <sheet name="JoinTest" sheetId="5" r:id="rId4"/>
    <sheet name="FunctionOverview" sheetId="2" r:id="rId5"/>
  </sheets>
  <definedNames>
    <definedName name="rAddinName">Sheet1!$D$4</definedName>
    <definedName name="rPath">Sheet1!$D$3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5" l="1"/>
  <c r="D9" i="5" s="1"/>
  <c r="D10" i="5" s="1"/>
  <c r="D11" i="5" s="1"/>
  <c r="D12" i="5" s="1"/>
  <c r="O26" i="1" a="1"/>
  <c r="J25" i="1" a="1"/>
  <c r="G5" i="5"/>
  <c r="R13" i="1" a="1"/>
  <c r="B31" i="5" a="1"/>
  <c r="B5" i="5"/>
  <c r="O27" i="1" l="1"/>
  <c r="O31" i="1"/>
  <c r="O35" i="1"/>
  <c r="O28" i="1"/>
  <c r="O32" i="1"/>
  <c r="O29" i="1"/>
  <c r="O33" i="1"/>
  <c r="O26" i="1"/>
  <c r="O30" i="1"/>
  <c r="O34" i="1"/>
  <c r="J26" i="1"/>
  <c r="J30" i="1"/>
  <c r="J27" i="1"/>
  <c r="J31" i="1"/>
  <c r="J28" i="1"/>
  <c r="J32" i="1"/>
  <c r="J25" i="1"/>
  <c r="J29" i="1"/>
  <c r="R14" i="1"/>
  <c r="R18" i="1"/>
  <c r="R15" i="1"/>
  <c r="R19" i="1"/>
  <c r="R16" i="1"/>
  <c r="R13" i="1"/>
  <c r="R17" i="1"/>
  <c r="B31" i="5"/>
  <c r="C32" i="5"/>
  <c r="D33" i="5"/>
  <c r="C31" i="5"/>
  <c r="D32" i="5"/>
  <c r="B34" i="5"/>
  <c r="D31" i="5"/>
  <c r="B33" i="5"/>
  <c r="C34" i="5"/>
  <c r="B32" i="5"/>
  <c r="C33" i="5"/>
  <c r="D34" i="5"/>
  <c r="B16" i="5"/>
  <c r="B17" i="5"/>
  <c r="D8" i="3"/>
  <c r="D9" i="3" s="1"/>
  <c r="D10" i="3" s="1"/>
  <c r="D11" i="3" s="1"/>
  <c r="D12" i="3" s="1"/>
  <c r="N9" i="5"/>
  <c r="M8" i="5" a="1"/>
  <c r="B6" i="4"/>
  <c r="M9" i="3" a="1"/>
  <c r="K15" i="1"/>
  <c r="B5" i="3"/>
  <c r="N8" i="5"/>
  <c r="M9" i="5" l="1"/>
  <c r="M13" i="5"/>
  <c r="M10" i="5"/>
  <c r="M14" i="5"/>
  <c r="M11" i="5"/>
  <c r="M8" i="5"/>
  <c r="M12" i="5"/>
  <c r="C14" i="3"/>
  <c r="B24" i="3"/>
  <c r="M10" i="3"/>
  <c r="N11" i="3"/>
  <c r="O12" i="3"/>
  <c r="M14" i="3"/>
  <c r="N15" i="3"/>
  <c r="O16" i="3"/>
  <c r="M18" i="3"/>
  <c r="N19" i="3"/>
  <c r="O20" i="3"/>
  <c r="M22" i="3"/>
  <c r="N23" i="3"/>
  <c r="O24" i="3"/>
  <c r="M26" i="3"/>
  <c r="N27" i="3"/>
  <c r="O28" i="3"/>
  <c r="M30" i="3"/>
  <c r="N31" i="3"/>
  <c r="O32" i="3"/>
  <c r="M34" i="3"/>
  <c r="N35" i="3"/>
  <c r="O36" i="3"/>
  <c r="M38" i="3"/>
  <c r="N39" i="3"/>
  <c r="O40" i="3"/>
  <c r="M42" i="3"/>
  <c r="N43" i="3"/>
  <c r="O44" i="3"/>
  <c r="M46" i="3"/>
  <c r="M9" i="3"/>
  <c r="N10" i="3"/>
  <c r="O11" i="3"/>
  <c r="M13" i="3"/>
  <c r="N14" i="3"/>
  <c r="O15" i="3"/>
  <c r="M17" i="3"/>
  <c r="N18" i="3"/>
  <c r="O19" i="3"/>
  <c r="M21" i="3"/>
  <c r="N22" i="3"/>
  <c r="O23" i="3"/>
  <c r="M25" i="3"/>
  <c r="N26" i="3"/>
  <c r="O27" i="3"/>
  <c r="M29" i="3"/>
  <c r="N30" i="3"/>
  <c r="O31" i="3"/>
  <c r="M33" i="3"/>
  <c r="N34" i="3"/>
  <c r="O35" i="3"/>
  <c r="M37" i="3"/>
  <c r="N38" i="3"/>
  <c r="O39" i="3"/>
  <c r="M41" i="3"/>
  <c r="N42" i="3"/>
  <c r="O43" i="3"/>
  <c r="M45" i="3"/>
  <c r="N46" i="3"/>
  <c r="O47" i="3"/>
  <c r="M49" i="3"/>
  <c r="N50" i="3"/>
  <c r="O51" i="3"/>
  <c r="M53" i="3"/>
  <c r="N54" i="3"/>
  <c r="O55" i="3"/>
  <c r="M57" i="3"/>
  <c r="N58" i="3"/>
  <c r="O59" i="3"/>
  <c r="M61" i="3"/>
  <c r="N62" i="3"/>
  <c r="O63" i="3"/>
  <c r="M65" i="3"/>
  <c r="N66" i="3"/>
  <c r="O67" i="3"/>
  <c r="M69" i="3"/>
  <c r="N70" i="3"/>
  <c r="O71" i="3"/>
  <c r="M73" i="3"/>
  <c r="N74" i="3"/>
  <c r="O75" i="3"/>
  <c r="M77" i="3"/>
  <c r="N78" i="3"/>
  <c r="O79" i="3"/>
  <c r="M81" i="3"/>
  <c r="N82" i="3"/>
  <c r="O83" i="3"/>
  <c r="M85" i="3"/>
  <c r="N86" i="3"/>
  <c r="O87" i="3"/>
  <c r="M89" i="3"/>
  <c r="N90" i="3"/>
  <c r="O91" i="3"/>
  <c r="M93" i="3"/>
  <c r="N94" i="3"/>
  <c r="O95" i="3"/>
  <c r="M92" i="3"/>
  <c r="O94" i="3"/>
  <c r="O9" i="3"/>
  <c r="N12" i="3"/>
  <c r="M15" i="3"/>
  <c r="O17" i="3"/>
  <c r="N20" i="3"/>
  <c r="M23" i="3"/>
  <c r="O25" i="3"/>
  <c r="N28" i="3"/>
  <c r="M31" i="3"/>
  <c r="M35" i="3"/>
  <c r="O37" i="3"/>
  <c r="N40" i="3"/>
  <c r="M43" i="3"/>
  <c r="O45" i="3"/>
  <c r="N48" i="3"/>
  <c r="M51" i="3"/>
  <c r="O53" i="3"/>
  <c r="N9" i="3"/>
  <c r="O10" i="3"/>
  <c r="M12" i="3"/>
  <c r="N13" i="3"/>
  <c r="O14" i="3"/>
  <c r="M16" i="3"/>
  <c r="N17" i="3"/>
  <c r="O18" i="3"/>
  <c r="M20" i="3"/>
  <c r="N21" i="3"/>
  <c r="O22" i="3"/>
  <c r="M24" i="3"/>
  <c r="N25" i="3"/>
  <c r="O26" i="3"/>
  <c r="M28" i="3"/>
  <c r="N29" i="3"/>
  <c r="O30" i="3"/>
  <c r="M32" i="3"/>
  <c r="N33" i="3"/>
  <c r="O34" i="3"/>
  <c r="M36" i="3"/>
  <c r="N37" i="3"/>
  <c r="O38" i="3"/>
  <c r="M40" i="3"/>
  <c r="N41" i="3"/>
  <c r="O42" i="3"/>
  <c r="M44" i="3"/>
  <c r="N45" i="3"/>
  <c r="O46" i="3"/>
  <c r="M48" i="3"/>
  <c r="N49" i="3"/>
  <c r="O50" i="3"/>
  <c r="M52" i="3"/>
  <c r="N53" i="3"/>
  <c r="O54" i="3"/>
  <c r="M56" i="3"/>
  <c r="N57" i="3"/>
  <c r="O58" i="3"/>
  <c r="M60" i="3"/>
  <c r="N61" i="3"/>
  <c r="O62" i="3"/>
  <c r="M64" i="3"/>
  <c r="N65" i="3"/>
  <c r="O66" i="3"/>
  <c r="M68" i="3"/>
  <c r="N69" i="3"/>
  <c r="O70" i="3"/>
  <c r="M72" i="3"/>
  <c r="N73" i="3"/>
  <c r="O74" i="3"/>
  <c r="M76" i="3"/>
  <c r="N77" i="3"/>
  <c r="O78" i="3"/>
  <c r="M80" i="3"/>
  <c r="N81" i="3"/>
  <c r="O82" i="3"/>
  <c r="M84" i="3"/>
  <c r="N85" i="3"/>
  <c r="O86" i="3"/>
  <c r="M88" i="3"/>
  <c r="N89" i="3"/>
  <c r="O90" i="3"/>
  <c r="N93" i="3"/>
  <c r="M11" i="3"/>
  <c r="O13" i="3"/>
  <c r="N16" i="3"/>
  <c r="M19" i="3"/>
  <c r="O21" i="3"/>
  <c r="N24" i="3"/>
  <c r="M27" i="3"/>
  <c r="O29" i="3"/>
  <c r="N32" i="3"/>
  <c r="O33" i="3"/>
  <c r="N36" i="3"/>
  <c r="M39" i="3"/>
  <c r="O41" i="3"/>
  <c r="N44" i="3"/>
  <c r="M47" i="3"/>
  <c r="O49" i="3"/>
  <c r="N52" i="3"/>
  <c r="M55" i="3"/>
  <c r="O57" i="3"/>
  <c r="M59" i="3"/>
  <c r="O48" i="3"/>
  <c r="M54" i="3"/>
  <c r="M58" i="3"/>
  <c r="O61" i="3"/>
  <c r="N64" i="3"/>
  <c r="M67" i="3"/>
  <c r="O69" i="3"/>
  <c r="N72" i="3"/>
  <c r="M75" i="3"/>
  <c r="O77" i="3"/>
  <c r="N80" i="3"/>
  <c r="M83" i="3"/>
  <c r="O85" i="3"/>
  <c r="N88" i="3"/>
  <c r="M91" i="3"/>
  <c r="O93" i="3"/>
  <c r="M50" i="3"/>
  <c r="N55" i="3"/>
  <c r="N59" i="3"/>
  <c r="M62" i="3"/>
  <c r="O64" i="3"/>
  <c r="N67" i="3"/>
  <c r="M70" i="3"/>
  <c r="O72" i="3"/>
  <c r="N75" i="3"/>
  <c r="M78" i="3"/>
  <c r="O80" i="3"/>
  <c r="N83" i="3"/>
  <c r="M86" i="3"/>
  <c r="O88" i="3"/>
  <c r="N91" i="3"/>
  <c r="M94" i="3"/>
  <c r="O65" i="3"/>
  <c r="M71" i="3"/>
  <c r="O73" i="3"/>
  <c r="M79" i="3"/>
  <c r="O81" i="3"/>
  <c r="M87" i="3"/>
  <c r="N92" i="3"/>
  <c r="M95" i="3"/>
  <c r="O52" i="3"/>
  <c r="O60" i="3"/>
  <c r="M66" i="3"/>
  <c r="N71" i="3"/>
  <c r="N79" i="3"/>
  <c r="O84" i="3"/>
  <c r="M90" i="3"/>
  <c r="N95" i="3"/>
  <c r="N51" i="3"/>
  <c r="N56" i="3"/>
  <c r="N60" i="3"/>
  <c r="M63" i="3"/>
  <c r="N68" i="3"/>
  <c r="N76" i="3"/>
  <c r="N84" i="3"/>
  <c r="O89" i="3"/>
  <c r="N47" i="3"/>
  <c r="O56" i="3"/>
  <c r="N63" i="3"/>
  <c r="O68" i="3"/>
  <c r="M74" i="3"/>
  <c r="O76" i="3"/>
  <c r="M82" i="3"/>
  <c r="N87" i="3"/>
  <c r="O92" i="3"/>
  <c r="K17" i="1" a="1"/>
  <c r="C16" i="3"/>
  <c r="B18" i="3" a="1"/>
  <c r="B26" i="3" a="1"/>
  <c r="B9" i="4" a="1"/>
  <c r="K9" i="4" l="1"/>
  <c r="G10" i="4"/>
  <c r="C11" i="4"/>
  <c r="S11" i="4"/>
  <c r="O12" i="4"/>
  <c r="K13" i="4"/>
  <c r="G14" i="4"/>
  <c r="C15" i="4"/>
  <c r="S15" i="4"/>
  <c r="O16" i="4"/>
  <c r="K17" i="4"/>
  <c r="G18" i="4"/>
  <c r="C19" i="4"/>
  <c r="S19" i="4"/>
  <c r="O20" i="4"/>
  <c r="K21" i="4"/>
  <c r="G22" i="4"/>
  <c r="C23" i="4"/>
  <c r="S23" i="4"/>
  <c r="O24" i="4"/>
  <c r="K25" i="4"/>
  <c r="I9" i="4"/>
  <c r="J10" i="4"/>
  <c r="L11" i="4"/>
  <c r="M12" i="4"/>
  <c r="N13" i="4"/>
  <c r="P14" i="4"/>
  <c r="Q15" i="4"/>
  <c r="R16" i="4"/>
  <c r="T17" i="4"/>
  <c r="U18" i="4"/>
  <c r="B20" i="4"/>
  <c r="D21" i="4"/>
  <c r="E22" i="4"/>
  <c r="F23" i="4"/>
  <c r="H24" i="4"/>
  <c r="I25" i="4"/>
  <c r="H26" i="4"/>
  <c r="D27" i="4"/>
  <c r="T27" i="4"/>
  <c r="P28" i="4"/>
  <c r="L29" i="4"/>
  <c r="H30" i="4"/>
  <c r="D31" i="4"/>
  <c r="T31" i="4"/>
  <c r="P32" i="4"/>
  <c r="L33" i="4"/>
  <c r="H34" i="4"/>
  <c r="D35" i="4"/>
  <c r="T35" i="4"/>
  <c r="P36" i="4"/>
  <c r="L37" i="4"/>
  <c r="H38" i="4"/>
  <c r="D39" i="4"/>
  <c r="T39" i="4"/>
  <c r="P40" i="4"/>
  <c r="L41" i="4"/>
  <c r="H42" i="4"/>
  <c r="D43" i="4"/>
  <c r="T43" i="4"/>
  <c r="P44" i="4"/>
  <c r="L45" i="4"/>
  <c r="H46" i="4"/>
  <c r="D47" i="4"/>
  <c r="F10" i="4"/>
  <c r="N11" i="4"/>
  <c r="B13" i="4"/>
  <c r="L14" i="4"/>
  <c r="T15" i="4"/>
  <c r="H17" i="4"/>
  <c r="Q18" i="4"/>
  <c r="E20" i="4"/>
  <c r="M21" i="4"/>
  <c r="B23" i="4"/>
  <c r="J24" i="4"/>
  <c r="R25" i="4"/>
  <c r="U26" i="4"/>
  <c r="B28" i="4"/>
  <c r="C29" i="4"/>
  <c r="E30" i="4"/>
  <c r="F31" i="4"/>
  <c r="G32" i="4"/>
  <c r="I33" i="4"/>
  <c r="J34" i="4"/>
  <c r="K35" i="4"/>
  <c r="O9" i="4"/>
  <c r="O10" i="4"/>
  <c r="O11" i="4"/>
  <c r="S12" i="4"/>
  <c r="S13" i="4"/>
  <c r="S14" i="4"/>
  <c r="C16" i="4"/>
  <c r="C17" i="4"/>
  <c r="C18" i="4"/>
  <c r="G19" i="4"/>
  <c r="G20" i="4"/>
  <c r="G21" i="4"/>
  <c r="K22" i="4"/>
  <c r="K23" i="4"/>
  <c r="K24" i="4"/>
  <c r="O25" i="4"/>
  <c r="T9" i="4"/>
  <c r="F11" i="4"/>
  <c r="R12" i="4"/>
  <c r="E14" i="4"/>
  <c r="L15" i="4"/>
  <c r="D17" i="4"/>
  <c r="J18" i="4"/>
  <c r="Q19" i="4"/>
  <c r="I21" i="4"/>
  <c r="P22" i="4"/>
  <c r="B24" i="4"/>
  <c r="N25" i="4"/>
  <c r="P26" i="4"/>
  <c r="P27" i="4"/>
  <c r="T28" i="4"/>
  <c r="T29" i="4"/>
  <c r="T30" i="4"/>
  <c r="D32" i="4"/>
  <c r="D33" i="4"/>
  <c r="D34" i="4"/>
  <c r="H35" i="4"/>
  <c r="H36" i="4"/>
  <c r="H37" i="4"/>
  <c r="L38" i="4"/>
  <c r="L39" i="4"/>
  <c r="L40" i="4"/>
  <c r="P41" i="4"/>
  <c r="P42" i="4"/>
  <c r="P43" i="4"/>
  <c r="T44" i="4"/>
  <c r="T45" i="4"/>
  <c r="T46" i="4"/>
  <c r="M10" i="4"/>
  <c r="I12" i="4"/>
  <c r="D14" i="4"/>
  <c r="F16" i="4"/>
  <c r="B18" i="4"/>
  <c r="R19" i="4"/>
  <c r="U21" i="4"/>
  <c r="P23" i="4"/>
  <c r="L25" i="4"/>
  <c r="F27" i="4"/>
  <c r="M28" i="4"/>
  <c r="S29" i="4"/>
  <c r="K31" i="4"/>
  <c r="R32" i="4"/>
  <c r="E34" i="4"/>
  <c r="Q35" i="4"/>
  <c r="R36" i="4"/>
  <c r="S37" i="4"/>
  <c r="U38" i="4"/>
  <c r="B40" i="4"/>
  <c r="C41" i="4"/>
  <c r="E42" i="4"/>
  <c r="F43" i="4"/>
  <c r="G44" i="4"/>
  <c r="I45" i="4"/>
  <c r="J46" i="4"/>
  <c r="J47" i="4"/>
  <c r="F48" i="4"/>
  <c r="B49" i="4"/>
  <c r="R49" i="4"/>
  <c r="N50" i="4"/>
  <c r="J51" i="4"/>
  <c r="F52" i="4"/>
  <c r="B53" i="4"/>
  <c r="R53" i="4"/>
  <c r="N54" i="4"/>
  <c r="J55" i="4"/>
  <c r="F56" i="4"/>
  <c r="B57" i="4"/>
  <c r="R57" i="4"/>
  <c r="N58" i="4"/>
  <c r="J59" i="4"/>
  <c r="F60" i="4"/>
  <c r="B61" i="4"/>
  <c r="R61" i="4"/>
  <c r="N62" i="4"/>
  <c r="J63" i="4"/>
  <c r="F64" i="4"/>
  <c r="B65" i="4"/>
  <c r="R65" i="4"/>
  <c r="N66" i="4"/>
  <c r="J67" i="4"/>
  <c r="F68" i="4"/>
  <c r="B69" i="4"/>
  <c r="R69" i="4"/>
  <c r="N70" i="4"/>
  <c r="J71" i="4"/>
  <c r="F72" i="4"/>
  <c r="B73" i="4"/>
  <c r="R73" i="4"/>
  <c r="N74" i="4"/>
  <c r="J75" i="4"/>
  <c r="F76" i="4"/>
  <c r="B77" i="4"/>
  <c r="R77" i="4"/>
  <c r="N78" i="4"/>
  <c r="J79" i="4"/>
  <c r="F80" i="4"/>
  <c r="B81" i="4"/>
  <c r="R81" i="4"/>
  <c r="N82" i="4"/>
  <c r="J83" i="4"/>
  <c r="F84" i="4"/>
  <c r="B85" i="4"/>
  <c r="R85" i="4"/>
  <c r="N86" i="4"/>
  <c r="J87" i="4"/>
  <c r="F88" i="4"/>
  <c r="B89" i="4"/>
  <c r="R89" i="4"/>
  <c r="R10" i="4"/>
  <c r="Q12" i="4"/>
  <c r="N14" i="4"/>
  <c r="L16" i="4"/>
  <c r="L18" i="4"/>
  <c r="I20" i="4"/>
  <c r="F22" i="4"/>
  <c r="E24" i="4"/>
  <c r="B26" i="4"/>
  <c r="J27" i="4"/>
  <c r="S28" i="4"/>
  <c r="G30" i="4"/>
  <c r="O31" i="4"/>
  <c r="E33" i="4"/>
  <c r="M34" i="4"/>
  <c r="U35" i="4"/>
  <c r="J37" i="4"/>
  <c r="R38" i="4"/>
  <c r="F40" i="4"/>
  <c r="O41" i="4"/>
  <c r="C43" i="4"/>
  <c r="D10" i="4"/>
  <c r="D12" i="4"/>
  <c r="U13" i="4"/>
  <c r="R15" i="4"/>
  <c r="Q17" i="4"/>
  <c r="N19" i="4"/>
  <c r="L21" i="4"/>
  <c r="J23" i="4"/>
  <c r="H25" i="4"/>
  <c r="S26" i="4"/>
  <c r="I28" i="4"/>
  <c r="Q29" i="4"/>
  <c r="E31" i="4"/>
  <c r="N32" i="4"/>
  <c r="B34" i="4"/>
  <c r="J35" i="4"/>
  <c r="S36" i="4"/>
  <c r="G38" i="4"/>
  <c r="O39" i="4"/>
  <c r="E41" i="4"/>
  <c r="M42" i="4"/>
  <c r="S9" i="4"/>
  <c r="G11" i="4"/>
  <c r="K12" i="4"/>
  <c r="C14" i="4"/>
  <c r="K15" i="4"/>
  <c r="S16" i="4"/>
  <c r="K18" i="4"/>
  <c r="O19" i="4"/>
  <c r="C21" i="4"/>
  <c r="O22" i="4"/>
  <c r="C24" i="4"/>
  <c r="G25" i="4"/>
  <c r="E10" i="4"/>
  <c r="B12" i="4"/>
  <c r="T13" i="4"/>
  <c r="B16" i="4"/>
  <c r="N17" i="4"/>
  <c r="L19" i="4"/>
  <c r="N21" i="4"/>
  <c r="L23" i="4"/>
  <c r="D25" i="4"/>
  <c r="T26" i="4"/>
  <c r="H28" i="4"/>
  <c r="P29" i="4"/>
  <c r="H31" i="4"/>
  <c r="L32" i="4"/>
  <c r="T33" i="4"/>
  <c r="L35" i="4"/>
  <c r="T36" i="4"/>
  <c r="D38" i="4"/>
  <c r="P39" i="4"/>
  <c r="D41" i="4"/>
  <c r="L42" i="4"/>
  <c r="D44" i="4"/>
  <c r="H45" i="4"/>
  <c r="P46" i="4"/>
  <c r="T10" i="4"/>
  <c r="J13" i="4"/>
  <c r="M15" i="4"/>
  <c r="I18" i="4"/>
  <c r="T20" i="4"/>
  <c r="I23" i="4"/>
  <c r="E26" i="4"/>
  <c r="Q27" i="4"/>
  <c r="N29" i="4"/>
  <c r="Q31" i="4"/>
  <c r="N33" i="4"/>
  <c r="F35" i="4"/>
  <c r="C37" i="4"/>
  <c r="J38" i="4"/>
  <c r="Q39" i="4"/>
  <c r="I41" i="4"/>
  <c r="O42" i="4"/>
  <c r="B44" i="4"/>
  <c r="N45" i="4"/>
  <c r="U46" i="4"/>
  <c r="B48" i="4"/>
  <c r="F49" i="4"/>
  <c r="F50" i="4"/>
  <c r="F51" i="4"/>
  <c r="J52" i="4"/>
  <c r="J53" i="4"/>
  <c r="J54" i="4"/>
  <c r="N55" i="4"/>
  <c r="N56" i="4"/>
  <c r="N57" i="4"/>
  <c r="R58" i="4"/>
  <c r="R59" i="4"/>
  <c r="R60" i="4"/>
  <c r="B62" i="4"/>
  <c r="B63" i="4"/>
  <c r="B64" i="4"/>
  <c r="F65" i="4"/>
  <c r="F66" i="4"/>
  <c r="F67" i="4"/>
  <c r="J68" i="4"/>
  <c r="J69" i="4"/>
  <c r="J70" i="4"/>
  <c r="N71" i="4"/>
  <c r="N72" i="4"/>
  <c r="N73" i="4"/>
  <c r="R74" i="4"/>
  <c r="R75" i="4"/>
  <c r="R76" i="4"/>
  <c r="B78" i="4"/>
  <c r="B79" i="4"/>
  <c r="B80" i="4"/>
  <c r="F81" i="4"/>
  <c r="F82" i="4"/>
  <c r="F83" i="4"/>
  <c r="J84" i="4"/>
  <c r="J85" i="4"/>
  <c r="J86" i="4"/>
  <c r="N87" i="4"/>
  <c r="N88" i="4"/>
  <c r="N89" i="4"/>
  <c r="I11" i="4"/>
  <c r="P13" i="4"/>
  <c r="D16" i="4"/>
  <c r="T18" i="4"/>
  <c r="H21" i="4"/>
  <c r="N23" i="4"/>
  <c r="I26" i="4"/>
  <c r="E28" i="4"/>
  <c r="U29" i="4"/>
  <c r="C32" i="4"/>
  <c r="R33" i="4"/>
  <c r="N35" i="4"/>
  <c r="Q37" i="4"/>
  <c r="M39" i="4"/>
  <c r="G41" i="4"/>
  <c r="B9" i="4"/>
  <c r="D11" i="4"/>
  <c r="L13" i="4"/>
  <c r="I16" i="4"/>
  <c r="N18" i="4"/>
  <c r="B21" i="4"/>
  <c r="T23" i="4"/>
  <c r="F26" i="4"/>
  <c r="U27" i="4"/>
  <c r="C30" i="4"/>
  <c r="S31" i="4"/>
  <c r="O33" i="4"/>
  <c r="R35" i="4"/>
  <c r="M37" i="4"/>
  <c r="I39" i="4"/>
  <c r="K41" i="4"/>
  <c r="G43" i="4"/>
  <c r="O44" i="4"/>
  <c r="C46" i="4"/>
  <c r="K47" i="4"/>
  <c r="L48" i="4"/>
  <c r="M49" i="4"/>
  <c r="O50" i="4"/>
  <c r="P51" i="4"/>
  <c r="Q52" i="4"/>
  <c r="S53" i="4"/>
  <c r="T54" i="4"/>
  <c r="U55" i="4"/>
  <c r="C57" i="4"/>
  <c r="D58" i="4"/>
  <c r="E59" i="4"/>
  <c r="G60" i="4"/>
  <c r="H61" i="4"/>
  <c r="I62" i="4"/>
  <c r="K63" i="4"/>
  <c r="L64" i="4"/>
  <c r="M65" i="4"/>
  <c r="O66" i="4"/>
  <c r="P67" i="4"/>
  <c r="Q68" i="4"/>
  <c r="S69" i="4"/>
  <c r="T70" i="4"/>
  <c r="U71" i="4"/>
  <c r="C73" i="4"/>
  <c r="D74" i="4"/>
  <c r="E75" i="4"/>
  <c r="G76" i="4"/>
  <c r="H77" i="4"/>
  <c r="I78" i="4"/>
  <c r="K79" i="4"/>
  <c r="L80" i="4"/>
  <c r="M81" i="4"/>
  <c r="O82" i="4"/>
  <c r="P83" i="4"/>
  <c r="Q84" i="4"/>
  <c r="S85" i="4"/>
  <c r="T86" i="4"/>
  <c r="U87" i="4"/>
  <c r="C89" i="4"/>
  <c r="C90" i="4"/>
  <c r="S90" i="4"/>
  <c r="O91" i="4"/>
  <c r="K92" i="4"/>
  <c r="G93" i="4"/>
  <c r="C94" i="4"/>
  <c r="S94" i="4"/>
  <c r="O95" i="4"/>
  <c r="K96" i="4"/>
  <c r="G97" i="4"/>
  <c r="C98" i="4"/>
  <c r="S98" i="4"/>
  <c r="O99" i="4"/>
  <c r="K100" i="4"/>
  <c r="G101" i="4"/>
  <c r="C102" i="4"/>
  <c r="S102" i="4"/>
  <c r="O103" i="4"/>
  <c r="K104" i="4"/>
  <c r="G105" i="4"/>
  <c r="C106" i="4"/>
  <c r="S106" i="4"/>
  <c r="O107" i="4"/>
  <c r="K108" i="4"/>
  <c r="G109" i="4"/>
  <c r="C110" i="4"/>
  <c r="S110" i="4"/>
  <c r="O111" i="4"/>
  <c r="K112" i="4"/>
  <c r="G113" i="4"/>
  <c r="C114" i="4"/>
  <c r="S114" i="4"/>
  <c r="O115" i="4"/>
  <c r="K116" i="4"/>
  <c r="G117" i="4"/>
  <c r="C118" i="4"/>
  <c r="S118" i="4"/>
  <c r="O119" i="4"/>
  <c r="K120" i="4"/>
  <c r="G121" i="4"/>
  <c r="C122" i="4"/>
  <c r="S122" i="4"/>
  <c r="O123" i="4"/>
  <c r="K124" i="4"/>
  <c r="G125" i="4"/>
  <c r="C126" i="4"/>
  <c r="S126" i="4"/>
  <c r="O127" i="4"/>
  <c r="K128" i="4"/>
  <c r="G129" i="4"/>
  <c r="C130" i="4"/>
  <c r="S130" i="4"/>
  <c r="O131" i="4"/>
  <c r="K132" i="4"/>
  <c r="G133" i="4"/>
  <c r="C134" i="4"/>
  <c r="S134" i="4"/>
  <c r="O135" i="4"/>
  <c r="K136" i="4"/>
  <c r="G137" i="4"/>
  <c r="C138" i="4"/>
  <c r="S138" i="4"/>
  <c r="O139" i="4"/>
  <c r="K140" i="4"/>
  <c r="G141" i="4"/>
  <c r="C142" i="4"/>
  <c r="S142" i="4"/>
  <c r="O143" i="4"/>
  <c r="K144" i="4"/>
  <c r="G145" i="4"/>
  <c r="C146" i="4"/>
  <c r="S146" i="4"/>
  <c r="O147" i="4"/>
  <c r="K148" i="4"/>
  <c r="G149" i="4"/>
  <c r="C150" i="4"/>
  <c r="S150" i="4"/>
  <c r="O151" i="4"/>
  <c r="K152" i="4"/>
  <c r="G153" i="4"/>
  <c r="C154" i="4"/>
  <c r="S154" i="4"/>
  <c r="O155" i="4"/>
  <c r="K156" i="4"/>
  <c r="G157" i="4"/>
  <c r="C158" i="4"/>
  <c r="S158" i="4"/>
  <c r="O159" i="4"/>
  <c r="K160" i="4"/>
  <c r="G161" i="4"/>
  <c r="C162" i="4"/>
  <c r="S162" i="4"/>
  <c r="O163" i="4"/>
  <c r="K164" i="4"/>
  <c r="G165" i="4"/>
  <c r="C166" i="4"/>
  <c r="S166" i="4"/>
  <c r="N12" i="4"/>
  <c r="J16" i="4"/>
  <c r="F20" i="4"/>
  <c r="U23" i="4"/>
  <c r="I27" i="4"/>
  <c r="F30" i="4"/>
  <c r="B33" i="4"/>
  <c r="S35" i="4"/>
  <c r="Q38" i="4"/>
  <c r="M41" i="4"/>
  <c r="C44" i="4"/>
  <c r="U45" i="4"/>
  <c r="O47" i="4"/>
  <c r="D49" i="4"/>
  <c r="L50" i="4"/>
  <c r="T51" i="4"/>
  <c r="I53" i="4"/>
  <c r="Q54" i="4"/>
  <c r="E56" i="4"/>
  <c r="O57" i="4"/>
  <c r="C59" i="4"/>
  <c r="K60" i="4"/>
  <c r="T61" i="4"/>
  <c r="H63" i="4"/>
  <c r="P64" i="4"/>
  <c r="E66" i="4"/>
  <c r="M67" i="4"/>
  <c r="U68" i="4"/>
  <c r="K70" i="4"/>
  <c r="S71" i="4"/>
  <c r="G73" i="4"/>
  <c r="P74" i="4"/>
  <c r="D76" i="4"/>
  <c r="L77" i="4"/>
  <c r="U78" i="4"/>
  <c r="I80" i="4"/>
  <c r="Q81" i="4"/>
  <c r="G83" i="4"/>
  <c r="O84" i="4"/>
  <c r="C86" i="4"/>
  <c r="L87" i="4"/>
  <c r="T88" i="4"/>
  <c r="F90" i="4"/>
  <c r="H91" i="4"/>
  <c r="I92" i="4"/>
  <c r="J93" i="4"/>
  <c r="L94" i="4"/>
  <c r="M95" i="4"/>
  <c r="N96" i="4"/>
  <c r="P97" i="4"/>
  <c r="Q98" i="4"/>
  <c r="R99" i="4"/>
  <c r="T100" i="4"/>
  <c r="U101" i="4"/>
  <c r="B103" i="4"/>
  <c r="D104" i="4"/>
  <c r="E105" i="4"/>
  <c r="F106" i="4"/>
  <c r="H107" i="4"/>
  <c r="I108" i="4"/>
  <c r="J109" i="4"/>
  <c r="L110" i="4"/>
  <c r="M111" i="4"/>
  <c r="N112" i="4"/>
  <c r="P113" i="4"/>
  <c r="Q114" i="4"/>
  <c r="R115" i="4"/>
  <c r="T116" i="4"/>
  <c r="U117" i="4"/>
  <c r="B119" i="4"/>
  <c r="D120" i="4"/>
  <c r="E121" i="4"/>
  <c r="F122" i="4"/>
  <c r="H123" i="4"/>
  <c r="C9" i="4"/>
  <c r="S10" i="4"/>
  <c r="C13" i="4"/>
  <c r="O14" i="4"/>
  <c r="K16" i="4"/>
  <c r="O18" i="4"/>
  <c r="K20" i="4"/>
  <c r="C22" i="4"/>
  <c r="G24" i="4"/>
  <c r="D9" i="4"/>
  <c r="Q11" i="4"/>
  <c r="J14" i="4"/>
  <c r="M16" i="4"/>
  <c r="F19" i="4"/>
  <c r="T21" i="4"/>
  <c r="M24" i="4"/>
  <c r="L26" i="4"/>
  <c r="L28" i="4"/>
  <c r="L30" i="4"/>
  <c r="H32" i="4"/>
  <c r="L34" i="4"/>
  <c r="D36" i="4"/>
  <c r="T37" i="4"/>
  <c r="D40" i="4"/>
  <c r="T41" i="4"/>
  <c r="L43" i="4"/>
  <c r="P45" i="4"/>
  <c r="L9" i="4"/>
  <c r="P12" i="4"/>
  <c r="N16" i="4"/>
  <c r="J19" i="4"/>
  <c r="N22" i="4"/>
  <c r="J26" i="4"/>
  <c r="R28" i="4"/>
  <c r="U30" i="4"/>
  <c r="S33" i="4"/>
  <c r="G36" i="4"/>
  <c r="E38" i="4"/>
  <c r="G40" i="4"/>
  <c r="S41" i="4"/>
  <c r="Q43" i="4"/>
  <c r="S45" i="4"/>
  <c r="N47" i="4"/>
  <c r="R48" i="4"/>
  <c r="J50" i="4"/>
  <c r="R51" i="4"/>
  <c r="F53" i="4"/>
  <c r="R54" i="4"/>
  <c r="B56" i="4"/>
  <c r="J57" i="4"/>
  <c r="B59" i="4"/>
  <c r="J60" i="4"/>
  <c r="N61" i="4"/>
  <c r="F63" i="4"/>
  <c r="N64" i="4"/>
  <c r="B66" i="4"/>
  <c r="N67" i="4"/>
  <c r="R68" i="4"/>
  <c r="F70" i="4"/>
  <c r="R71" i="4"/>
  <c r="F73" i="4"/>
  <c r="J74" i="4"/>
  <c r="B76" i="4"/>
  <c r="J77" i="4"/>
  <c r="R78" i="4"/>
  <c r="J80" i="4"/>
  <c r="N81" i="4"/>
  <c r="B83" i="4"/>
  <c r="N84" i="4"/>
  <c r="B86" i="4"/>
  <c r="F87" i="4"/>
  <c r="R88" i="4"/>
  <c r="U9" i="4"/>
  <c r="F13" i="4"/>
  <c r="B17" i="4"/>
  <c r="T19" i="4"/>
  <c r="E23" i="4"/>
  <c r="Q26" i="4"/>
  <c r="F29" i="4"/>
  <c r="I31" i="4"/>
  <c r="F34" i="4"/>
  <c r="O36" i="4"/>
  <c r="E39" i="4"/>
  <c r="B42" i="4"/>
  <c r="P9" i="4"/>
  <c r="C10" i="4"/>
  <c r="C12" i="4"/>
  <c r="O13" i="4"/>
  <c r="O15" i="4"/>
  <c r="O17" i="4"/>
  <c r="K19" i="4"/>
  <c r="O21" i="4"/>
  <c r="G23" i="4"/>
  <c r="C25" i="4"/>
  <c r="P10" i="4"/>
  <c r="D13" i="4"/>
  <c r="F15" i="4"/>
  <c r="E18" i="4"/>
  <c r="M20" i="4"/>
  <c r="U22" i="4"/>
  <c r="T25" i="4"/>
  <c r="L27" i="4"/>
  <c r="H29" i="4"/>
  <c r="L31" i="4"/>
  <c r="H33" i="4"/>
  <c r="T34" i="4"/>
  <c r="D37" i="4"/>
  <c r="T38" i="4"/>
  <c r="T40" i="4"/>
  <c r="T42" i="4"/>
  <c r="L44" i="4"/>
  <c r="L46" i="4"/>
  <c r="H11" i="4"/>
  <c r="R14" i="4"/>
  <c r="P17" i="4"/>
  <c r="F21" i="4"/>
  <c r="Q24" i="4"/>
  <c r="K27" i="4"/>
  <c r="J30" i="4"/>
  <c r="M32" i="4"/>
  <c r="U34" i="4"/>
  <c r="I37" i="4"/>
  <c r="F39" i="4"/>
  <c r="R40" i="4"/>
  <c r="U42" i="4"/>
  <c r="R44" i="4"/>
  <c r="O46" i="4"/>
  <c r="J48" i="4"/>
  <c r="N49" i="4"/>
  <c r="B51" i="4"/>
  <c r="N52" i="4"/>
  <c r="B54" i="4"/>
  <c r="F55" i="4"/>
  <c r="R56" i="4"/>
  <c r="F58" i="4"/>
  <c r="N59" i="4"/>
  <c r="F61" i="4"/>
  <c r="J62" i="4"/>
  <c r="R63" i="4"/>
  <c r="J65" i="4"/>
  <c r="R66" i="4"/>
  <c r="B68" i="4"/>
  <c r="N69" i="4"/>
  <c r="B71" i="4"/>
  <c r="J72" i="4"/>
  <c r="B74" i="4"/>
  <c r="F75" i="4"/>
  <c r="N76" i="4"/>
  <c r="F78" i="4"/>
  <c r="N79" i="4"/>
  <c r="R80" i="4"/>
  <c r="J82" i="4"/>
  <c r="R83" i="4"/>
  <c r="F85" i="4"/>
  <c r="R86" i="4"/>
  <c r="B88" i="4"/>
  <c r="J89" i="4"/>
  <c r="R11" i="4"/>
  <c r="D15" i="4"/>
  <c r="U17" i="4"/>
  <c r="Q21" i="4"/>
  <c r="B25" i="4"/>
  <c r="R27" i="4"/>
  <c r="N30" i="4"/>
  <c r="Q32" i="4"/>
  <c r="G35" i="4"/>
  <c r="C38" i="4"/>
  <c r="N40" i="4"/>
  <c r="Q42" i="4"/>
  <c r="M11" i="4"/>
  <c r="T14" i="4"/>
  <c r="F18" i="4"/>
  <c r="B22" i="4"/>
  <c r="T24" i="4"/>
  <c r="N27" i="4"/>
  <c r="K30" i="4"/>
  <c r="U32" i="4"/>
  <c r="C35" i="4"/>
  <c r="U37" i="4"/>
  <c r="J40" i="4"/>
  <c r="S42" i="4"/>
  <c r="B45" i="4"/>
  <c r="R46" i="4"/>
  <c r="G48" i="4"/>
  <c r="S49" i="4"/>
  <c r="E51" i="4"/>
  <c r="L52" i="4"/>
  <c r="D54" i="4"/>
  <c r="K55" i="4"/>
  <c r="Q56" i="4"/>
  <c r="I58" i="4"/>
  <c r="P59" i="4"/>
  <c r="C61" i="4"/>
  <c r="O62" i="4"/>
  <c r="U63" i="4"/>
  <c r="H65" i="4"/>
  <c r="T66" i="4"/>
  <c r="G68" i="4"/>
  <c r="M69" i="4"/>
  <c r="E71" i="4"/>
  <c r="L72" i="4"/>
  <c r="S73" i="4"/>
  <c r="K75" i="4"/>
  <c r="Q76" i="4"/>
  <c r="D78" i="4"/>
  <c r="P79" i="4"/>
  <c r="C81" i="4"/>
  <c r="I82" i="4"/>
  <c r="U83" i="4"/>
  <c r="H85" i="4"/>
  <c r="O86" i="4"/>
  <c r="G88" i="4"/>
  <c r="M89" i="4"/>
  <c r="O90" i="4"/>
  <c r="S91" i="4"/>
  <c r="S92" i="4"/>
  <c r="S93" i="4"/>
  <c r="C95" i="4"/>
  <c r="C96" i="4"/>
  <c r="C97" i="4"/>
  <c r="G98" i="4"/>
  <c r="G99" i="4"/>
  <c r="G100" i="4"/>
  <c r="K101" i="4"/>
  <c r="K102" i="4"/>
  <c r="K103" i="4"/>
  <c r="O104" i="4"/>
  <c r="O105" i="4"/>
  <c r="O106" i="4"/>
  <c r="S107" i="4"/>
  <c r="S108" i="4"/>
  <c r="S109" i="4"/>
  <c r="C111" i="4"/>
  <c r="C112" i="4"/>
  <c r="C113" i="4"/>
  <c r="G114" i="4"/>
  <c r="G115" i="4"/>
  <c r="G116" i="4"/>
  <c r="K117" i="4"/>
  <c r="K118" i="4"/>
  <c r="K119" i="4"/>
  <c r="O120" i="4"/>
  <c r="O121" i="4"/>
  <c r="O122" i="4"/>
  <c r="S123" i="4"/>
  <c r="S124" i="4"/>
  <c r="S125" i="4"/>
  <c r="C127" i="4"/>
  <c r="C128" i="4"/>
  <c r="C129" i="4"/>
  <c r="G130" i="4"/>
  <c r="G131" i="4"/>
  <c r="G132" i="4"/>
  <c r="K133" i="4"/>
  <c r="K134" i="4"/>
  <c r="K135" i="4"/>
  <c r="O136" i="4"/>
  <c r="O137" i="4"/>
  <c r="O138" i="4"/>
  <c r="S139" i="4"/>
  <c r="S140" i="4"/>
  <c r="S141" i="4"/>
  <c r="C143" i="4"/>
  <c r="C144" i="4"/>
  <c r="C145" i="4"/>
  <c r="G146" i="4"/>
  <c r="G147" i="4"/>
  <c r="G148" i="4"/>
  <c r="K149" i="4"/>
  <c r="K150" i="4"/>
  <c r="K151" i="4"/>
  <c r="O152" i="4"/>
  <c r="O153" i="4"/>
  <c r="O154" i="4"/>
  <c r="S155" i="4"/>
  <c r="S156" i="4"/>
  <c r="S157" i="4"/>
  <c r="C159" i="4"/>
  <c r="C160" i="4"/>
  <c r="C161" i="4"/>
  <c r="G162" i="4"/>
  <c r="G163" i="4"/>
  <c r="G164" i="4"/>
  <c r="K165" i="4"/>
  <c r="K166" i="4"/>
  <c r="P11" i="4"/>
  <c r="J17" i="4"/>
  <c r="D22" i="4"/>
  <c r="N26" i="4"/>
  <c r="S30" i="4"/>
  <c r="K34" i="4"/>
  <c r="B38" i="4"/>
  <c r="G42" i="4"/>
  <c r="U44" i="4"/>
  <c r="H47" i="4"/>
  <c r="K49" i="4"/>
  <c r="G51" i="4"/>
  <c r="U52" i="4"/>
  <c r="D55" i="4"/>
  <c r="T56" i="4"/>
  <c r="P58" i="4"/>
  <c r="S60" i="4"/>
  <c r="M62" i="4"/>
  <c r="I64" i="4"/>
  <c r="L66" i="4"/>
  <c r="H68" i="4"/>
  <c r="C70" i="4"/>
  <c r="E72" i="4"/>
  <c r="U73" i="4"/>
  <c r="Q75" i="4"/>
  <c r="T77" i="4"/>
  <c r="O79" i="4"/>
  <c r="K81" i="4"/>
  <c r="M83" i="4"/>
  <c r="G12" i="4"/>
  <c r="G16" i="4"/>
  <c r="C20" i="4"/>
  <c r="O23" i="4"/>
  <c r="U10" i="4"/>
  <c r="H16" i="4"/>
  <c r="R20" i="4"/>
  <c r="D26" i="4"/>
  <c r="D30" i="4"/>
  <c r="P33" i="4"/>
  <c r="P37" i="4"/>
  <c r="D45" i="4"/>
  <c r="U11" i="4"/>
  <c r="D19" i="4"/>
  <c r="E25" i="4"/>
  <c r="O30" i="4"/>
  <c r="B36" i="4"/>
  <c r="K39" i="4"/>
  <c r="K43" i="4"/>
  <c r="F47" i="4"/>
  <c r="B50" i="4"/>
  <c r="R52" i="4"/>
  <c r="R55" i="4"/>
  <c r="J58" i="4"/>
  <c r="J61" i="4"/>
  <c r="J64" i="4"/>
  <c r="B67" i="4"/>
  <c r="B70" i="4"/>
  <c r="R72" i="4"/>
  <c r="N75" i="4"/>
  <c r="J78" i="4"/>
  <c r="J81" i="4"/>
  <c r="B84" i="4"/>
  <c r="B87" i="4"/>
  <c r="J9" i="4"/>
  <c r="N15" i="4"/>
  <c r="Q22" i="4"/>
  <c r="K28" i="4"/>
  <c r="K33" i="4"/>
  <c r="K38" i="4"/>
  <c r="F9" i="4"/>
  <c r="I14" i="4"/>
  <c r="E19" i="4"/>
  <c r="T22" i="4"/>
  <c r="G27" i="4"/>
  <c r="R30" i="4"/>
  <c r="I34" i="4"/>
  <c r="F37" i="4"/>
  <c r="Q40" i="4"/>
  <c r="U43" i="4"/>
  <c r="K46" i="4"/>
  <c r="Q48" i="4"/>
  <c r="I50" i="4"/>
  <c r="G52" i="4"/>
  <c r="I54" i="4"/>
  <c r="G56" i="4"/>
  <c r="S57" i="4"/>
  <c r="U59" i="4"/>
  <c r="S61" i="4"/>
  <c r="P63" i="4"/>
  <c r="S65" i="4"/>
  <c r="K67" i="4"/>
  <c r="H69" i="4"/>
  <c r="K71" i="4"/>
  <c r="H73" i="4"/>
  <c r="T74" i="4"/>
  <c r="C77" i="4"/>
  <c r="T78" i="4"/>
  <c r="Q80" i="4"/>
  <c r="T82" i="4"/>
  <c r="L84" i="4"/>
  <c r="I86" i="4"/>
  <c r="L88" i="4"/>
  <c r="G90" i="4"/>
  <c r="K91" i="4"/>
  <c r="C93" i="4"/>
  <c r="K94" i="4"/>
  <c r="S95" i="4"/>
  <c r="K97" i="4"/>
  <c r="O98" i="4"/>
  <c r="C100" i="4"/>
  <c r="O101" i="4"/>
  <c r="C103" i="4"/>
  <c r="G104" i="4"/>
  <c r="G9" i="4"/>
  <c r="G13" i="4"/>
  <c r="G17" i="4"/>
  <c r="S20" i="4"/>
  <c r="S24" i="4"/>
  <c r="H12" i="4"/>
  <c r="I17" i="4"/>
  <c r="J22" i="4"/>
  <c r="H27" i="4"/>
  <c r="P30" i="4"/>
  <c r="P34" i="4"/>
  <c r="P38" i="4"/>
  <c r="D42" i="4"/>
  <c r="D46" i="4"/>
  <c r="Q13" i="4"/>
  <c r="L20" i="4"/>
  <c r="O26" i="4"/>
  <c r="B32" i="4"/>
  <c r="M36" i="4"/>
  <c r="M40" i="4"/>
  <c r="M44" i="4"/>
  <c r="R47" i="4"/>
  <c r="R50" i="4"/>
  <c r="N53" i="4"/>
  <c r="J56" i="4"/>
  <c r="F59" i="4"/>
  <c r="F62" i="4"/>
  <c r="R64" i="4"/>
  <c r="R67" i="4"/>
  <c r="R70" i="4"/>
  <c r="J73" i="4"/>
  <c r="J76" i="4"/>
  <c r="F79" i="4"/>
  <c r="B82" i="4"/>
  <c r="R84" i="4"/>
  <c r="R87" i="4"/>
  <c r="I10" i="4"/>
  <c r="L17" i="4"/>
  <c r="N24" i="4"/>
  <c r="M29" i="4"/>
  <c r="S34" i="4"/>
  <c r="S39" i="4"/>
  <c r="N10" i="4"/>
  <c r="I15" i="4"/>
  <c r="D20" i="4"/>
  <c r="I24" i="4"/>
  <c r="O28" i="4"/>
  <c r="M31" i="4"/>
  <c r="Q34" i="4"/>
  <c r="N38" i="4"/>
  <c r="R41" i="4"/>
  <c r="I44" i="4"/>
  <c r="E47" i="4"/>
  <c r="C49" i="4"/>
  <c r="T50" i="4"/>
  <c r="C53" i="4"/>
  <c r="O54" i="4"/>
  <c r="L56" i="4"/>
  <c r="O58" i="4"/>
  <c r="L60" i="4"/>
  <c r="D62" i="4"/>
  <c r="G64" i="4"/>
  <c r="K10" i="4"/>
  <c r="K14" i="4"/>
  <c r="S17" i="4"/>
  <c r="S21" i="4"/>
  <c r="S25" i="4"/>
  <c r="I13" i="4"/>
  <c r="P18" i="4"/>
  <c r="Q23" i="4"/>
  <c r="D28" i="4"/>
  <c r="P31" i="4"/>
  <c r="P35" i="4"/>
  <c r="H39" i="4"/>
  <c r="H43" i="4"/>
  <c r="E9" i="4"/>
  <c r="E15" i="4"/>
  <c r="H22" i="4"/>
  <c r="G28" i="4"/>
  <c r="C33" i="4"/>
  <c r="N37" i="4"/>
  <c r="N41" i="4"/>
  <c r="C45" i="4"/>
  <c r="N48" i="4"/>
  <c r="N51" i="4"/>
  <c r="F54" i="4"/>
  <c r="F57" i="4"/>
  <c r="B60" i="4"/>
  <c r="R62" i="4"/>
  <c r="N65" i="4"/>
  <c r="N68" i="4"/>
  <c r="F71" i="4"/>
  <c r="F74" i="4"/>
  <c r="F77" i="4"/>
  <c r="R79" i="4"/>
  <c r="R82" i="4"/>
  <c r="N85" i="4"/>
  <c r="J88" i="4"/>
  <c r="F12" i="4"/>
  <c r="I19" i="4"/>
  <c r="M25" i="4"/>
  <c r="B31" i="4"/>
  <c r="I36" i="4"/>
  <c r="U40" i="4"/>
  <c r="L12" i="4"/>
  <c r="Q16" i="4"/>
  <c r="N20" i="4"/>
  <c r="Q25" i="4"/>
  <c r="B29" i="4"/>
  <c r="F32" i="4"/>
  <c r="E36" i="4"/>
  <c r="B39" i="4"/>
  <c r="F42" i="4"/>
  <c r="J45" i="4"/>
  <c r="P47" i="4"/>
  <c r="K11" i="4"/>
  <c r="G15" i="4"/>
  <c r="S18" i="4"/>
  <c r="S22" i="4"/>
  <c r="N9" i="4"/>
  <c r="U14" i="4"/>
  <c r="H20" i="4"/>
  <c r="R24" i="4"/>
  <c r="D29" i="4"/>
  <c r="T32" i="4"/>
  <c r="L36" i="4"/>
  <c r="H40" i="4"/>
  <c r="H44" i="4"/>
  <c r="R9" i="4"/>
  <c r="U16" i="4"/>
  <c r="D24" i="4"/>
  <c r="I29" i="4"/>
  <c r="O34" i="4"/>
  <c r="O38" i="4"/>
  <c r="J42" i="4"/>
  <c r="E46" i="4"/>
  <c r="J49" i="4"/>
  <c r="B52" i="4"/>
  <c r="B55" i="4"/>
  <c r="B58" i="4"/>
  <c r="N60" i="4"/>
  <c r="N63" i="4"/>
  <c r="J66" i="4"/>
  <c r="F69" i="4"/>
  <c r="B72" i="4"/>
  <c r="B75" i="4"/>
  <c r="N77" i="4"/>
  <c r="N80" i="4"/>
  <c r="N83" i="4"/>
  <c r="F86" i="4"/>
  <c r="F89" i="4"/>
  <c r="F14" i="4"/>
  <c r="Q20" i="4"/>
  <c r="C27" i="4"/>
  <c r="J32" i="4"/>
  <c r="B37" i="4"/>
  <c r="I42" i="4"/>
  <c r="U12" i="4"/>
  <c r="F17" i="4"/>
  <c r="L22" i="4"/>
  <c r="M26" i="4"/>
  <c r="J29" i="4"/>
  <c r="G33" i="4"/>
  <c r="K36" i="4"/>
  <c r="C40" i="4"/>
  <c r="N43" i="4"/>
  <c r="Q45" i="4"/>
  <c r="U47" i="4"/>
  <c r="D50" i="4"/>
  <c r="U51" i="4"/>
  <c r="M53" i="4"/>
  <c r="P55" i="4"/>
  <c r="M57" i="4"/>
  <c r="K59" i="4"/>
  <c r="M61" i="4"/>
  <c r="E63" i="4"/>
  <c r="C65" i="4"/>
  <c r="E67" i="4"/>
  <c r="C69" i="4"/>
  <c r="O70" i="4"/>
  <c r="Q72" i="4"/>
  <c r="O74" i="4"/>
  <c r="L76" i="4"/>
  <c r="O78" i="4"/>
  <c r="G80" i="4"/>
  <c r="D82" i="4"/>
  <c r="G84" i="4"/>
  <c r="D86" i="4"/>
  <c r="P87" i="4"/>
  <c r="S89" i="4"/>
  <c r="G91" i="4"/>
  <c r="O92" i="4"/>
  <c r="G94" i="4"/>
  <c r="K95" i="4"/>
  <c r="S96" i="4"/>
  <c r="K98" i="4"/>
  <c r="S99" i="4"/>
  <c r="C101" i="4"/>
  <c r="O102" i="4"/>
  <c r="C104" i="4"/>
  <c r="K105" i="4"/>
  <c r="C107" i="4"/>
  <c r="G108" i="4"/>
  <c r="O109" i="4"/>
  <c r="G111" i="4"/>
  <c r="O112" i="4"/>
  <c r="S113" i="4"/>
  <c r="K115" i="4"/>
  <c r="S116" i="4"/>
  <c r="G118" i="4"/>
  <c r="S119" i="4"/>
  <c r="C121" i="4"/>
  <c r="K122" i="4"/>
  <c r="C124" i="4"/>
  <c r="K125" i="4"/>
  <c r="O126" i="4"/>
  <c r="G128" i="4"/>
  <c r="O129" i="4"/>
  <c r="C131" i="4"/>
  <c r="O132" i="4"/>
  <c r="S133" i="4"/>
  <c r="G135" i="4"/>
  <c r="S136" i="4"/>
  <c r="G138" i="4"/>
  <c r="K139" i="4"/>
  <c r="C141" i="4"/>
  <c r="K142" i="4"/>
  <c r="S143" i="4"/>
  <c r="K145" i="4"/>
  <c r="O146" i="4"/>
  <c r="C148" i="4"/>
  <c r="O149" i="4"/>
  <c r="C151" i="4"/>
  <c r="G152" i="4"/>
  <c r="S153" i="4"/>
  <c r="G155" i="4"/>
  <c r="O156" i="4"/>
  <c r="G158" i="4"/>
  <c r="K159" i="4"/>
  <c r="S160" i="4"/>
  <c r="K162" i="4"/>
  <c r="S163" i="4"/>
  <c r="C165" i="4"/>
  <c r="O166" i="4"/>
  <c r="M14" i="4"/>
  <c r="E21" i="4"/>
  <c r="C28" i="4"/>
  <c r="I32" i="4"/>
  <c r="G37" i="4"/>
  <c r="B43" i="4"/>
  <c r="I46" i="4"/>
  <c r="P48" i="4"/>
  <c r="M51" i="4"/>
  <c r="C54" i="4"/>
  <c r="M56" i="4"/>
  <c r="I59" i="4"/>
  <c r="L61" i="4"/>
  <c r="C64" i="4"/>
  <c r="S66" i="4"/>
  <c r="I69" i="4"/>
  <c r="L71" i="4"/>
  <c r="H74" i="4"/>
  <c r="S76" i="4"/>
  <c r="H79" i="4"/>
  <c r="E82" i="4"/>
  <c r="H84" i="4"/>
  <c r="K86" i="4"/>
  <c r="E88" i="4"/>
  <c r="U89" i="4"/>
  <c r="M91" i="4"/>
  <c r="T92" i="4"/>
  <c r="F94" i="4"/>
  <c r="R95" i="4"/>
  <c r="E97" i="4"/>
  <c r="L98" i="4"/>
  <c r="D100" i="4"/>
  <c r="J101" i="4"/>
  <c r="Q102" i="4"/>
  <c r="I104" i="4"/>
  <c r="P105" i="4"/>
  <c r="B107" i="4"/>
  <c r="N108" i="4"/>
  <c r="U109" i="4"/>
  <c r="H111" i="4"/>
  <c r="T112" i="4"/>
  <c r="F114" i="4"/>
  <c r="M115" i="4"/>
  <c r="E117" i="4"/>
  <c r="L118" i="4"/>
  <c r="R119" i="4"/>
  <c r="J121" i="4"/>
  <c r="Q122" i="4"/>
  <c r="D124" i="4"/>
  <c r="E125" i="4"/>
  <c r="F126" i="4"/>
  <c r="H127" i="4"/>
  <c r="I128" i="4"/>
  <c r="J129" i="4"/>
  <c r="L130" i="4"/>
  <c r="M131" i="4"/>
  <c r="N132" i="4"/>
  <c r="P133" i="4"/>
  <c r="Q134" i="4"/>
  <c r="R135" i="4"/>
  <c r="T136" i="4"/>
  <c r="U137" i="4"/>
  <c r="B139" i="4"/>
  <c r="D140" i="4"/>
  <c r="E141" i="4"/>
  <c r="F142" i="4"/>
  <c r="H143" i="4"/>
  <c r="I144" i="4"/>
  <c r="J145" i="4"/>
  <c r="L146" i="4"/>
  <c r="M147" i="4"/>
  <c r="N148" i="4"/>
  <c r="P149" i="4"/>
  <c r="Q150" i="4"/>
  <c r="R151" i="4"/>
  <c r="T152" i="4"/>
  <c r="U153" i="4"/>
  <c r="B155" i="4"/>
  <c r="D156" i="4"/>
  <c r="E157" i="4"/>
  <c r="F158" i="4"/>
  <c r="H159" i="4"/>
  <c r="I160" i="4"/>
  <c r="J161" i="4"/>
  <c r="L162" i="4"/>
  <c r="M163" i="4"/>
  <c r="N164" i="4"/>
  <c r="P165" i="4"/>
  <c r="Q166" i="4"/>
  <c r="T12" i="4"/>
  <c r="P16" i="4"/>
  <c r="J20" i="4"/>
  <c r="F24" i="4"/>
  <c r="M27" i="4"/>
  <c r="I30" i="4"/>
  <c r="F33" i="4"/>
  <c r="C36" i="4"/>
  <c r="S38" i="4"/>
  <c r="Q41" i="4"/>
  <c r="E44" i="4"/>
  <c r="B46" i="4"/>
  <c r="Q47" i="4"/>
  <c r="E49" i="4"/>
  <c r="M50" i="4"/>
  <c r="C52" i="4"/>
  <c r="K53" i="4"/>
  <c r="S54" i="4"/>
  <c r="H56" i="4"/>
  <c r="P57" i="4"/>
  <c r="D59" i="4"/>
  <c r="M60" i="4"/>
  <c r="U61" i="4"/>
  <c r="I63" i="4"/>
  <c r="S64" i="4"/>
  <c r="G66" i="4"/>
  <c r="O67" i="4"/>
  <c r="D69" i="4"/>
  <c r="L70" i="4"/>
  <c r="T71" i="4"/>
  <c r="I73" i="4"/>
  <c r="Q74" i="4"/>
  <c r="E76" i="4"/>
  <c r="O77" i="4"/>
  <c r="C79" i="4"/>
  <c r="K80" i="4"/>
  <c r="T81" i="4"/>
  <c r="H83" i="4"/>
  <c r="P84" i="4"/>
  <c r="E86" i="4"/>
  <c r="M87" i="4"/>
  <c r="U88" i="4"/>
  <c r="H90" i="4"/>
  <c r="I91" i="4"/>
  <c r="J92" i="4"/>
  <c r="L93" i="4"/>
  <c r="M94" i="4"/>
  <c r="N95" i="4"/>
  <c r="P96" i="4"/>
  <c r="Q97" i="4"/>
  <c r="R98" i="4"/>
  <c r="T99" i="4"/>
  <c r="U100" i="4"/>
  <c r="B102" i="4"/>
  <c r="D103" i="4"/>
  <c r="U76" i="4"/>
  <c r="N115" i="4"/>
  <c r="E124" i="4"/>
  <c r="N126" i="4"/>
  <c r="L129" i="4"/>
  <c r="H132" i="4"/>
  <c r="E135" i="4"/>
  <c r="I138" i="4"/>
  <c r="F141" i="4"/>
  <c r="B144" i="4"/>
  <c r="N147" i="4"/>
  <c r="D150" i="4"/>
  <c r="U152" i="4"/>
  <c r="Q155" i="4"/>
  <c r="N158" i="4"/>
  <c r="L161" i="4"/>
  <c r="H164" i="4"/>
  <c r="H10" i="4"/>
  <c r="R17" i="4"/>
  <c r="J25" i="4"/>
  <c r="G31" i="4"/>
  <c r="U36" i="4"/>
  <c r="N42" i="4"/>
  <c r="N46" i="4"/>
  <c r="O49" i="4"/>
  <c r="K52" i="4"/>
  <c r="H55" i="4"/>
  <c r="E58" i="4"/>
  <c r="U60" i="4"/>
  <c r="S63" i="4"/>
  <c r="P66" i="4"/>
  <c r="L69" i="4"/>
  <c r="I72" i="4"/>
  <c r="G75" i="4"/>
  <c r="C78" i="4"/>
  <c r="T80" i="4"/>
  <c r="Q83" i="4"/>
  <c r="M86" i="4"/>
  <c r="K89" i="4"/>
  <c r="P91" i="4"/>
  <c r="R93" i="4"/>
  <c r="U95" i="4"/>
  <c r="D98" i="4"/>
  <c r="F100" i="4"/>
  <c r="I102" i="4"/>
  <c r="H104" i="4"/>
  <c r="Q105" i="4"/>
  <c r="E107" i="4"/>
  <c r="M108" i="4"/>
  <c r="B110" i="4"/>
  <c r="J111" i="4"/>
  <c r="R112" i="4"/>
  <c r="H114" i="4"/>
  <c r="P115" i="4"/>
  <c r="D117" i="4"/>
  <c r="M118" i="4"/>
  <c r="U119" i="4"/>
  <c r="I121" i="4"/>
  <c r="R122" i="4"/>
  <c r="F124" i="4"/>
  <c r="N125" i="4"/>
  <c r="D127" i="4"/>
  <c r="L128" i="4"/>
  <c r="T129" i="4"/>
  <c r="I131" i="4"/>
  <c r="Q132" i="4"/>
  <c r="E134" i="4"/>
  <c r="N135" i="4"/>
  <c r="B137" i="4"/>
  <c r="J138" i="4"/>
  <c r="T139" i="4"/>
  <c r="H141" i="4"/>
  <c r="P142" i="4"/>
  <c r="E144" i="4"/>
  <c r="M145" i="4"/>
  <c r="U146" i="4"/>
  <c r="J148" i="4"/>
  <c r="R149" i="4"/>
  <c r="F151" i="4"/>
  <c r="P152" i="4"/>
  <c r="D154" i="4"/>
  <c r="L155" i="4"/>
  <c r="U156" i="4"/>
  <c r="I158" i="4"/>
  <c r="Q159" i="4"/>
  <c r="F161" i="4"/>
  <c r="N162" i="4"/>
  <c r="B164" i="4"/>
  <c r="L165" i="4"/>
  <c r="T166" i="4"/>
  <c r="E16" i="4"/>
  <c r="R23" i="4"/>
  <c r="B30" i="4"/>
  <c r="O35" i="4"/>
  <c r="J41" i="4"/>
  <c r="R45" i="4"/>
  <c r="U48" i="4"/>
  <c r="S51" i="4"/>
  <c r="P54" i="4"/>
  <c r="L57" i="4"/>
  <c r="I60" i="4"/>
  <c r="G63" i="4"/>
  <c r="C66" i="4"/>
  <c r="T68" i="4"/>
  <c r="Q71" i="4"/>
  <c r="M74" i="4"/>
  <c r="K77" i="4"/>
  <c r="H80" i="4"/>
  <c r="D83" i="4"/>
  <c r="U85" i="4"/>
  <c r="S88" i="4"/>
  <c r="F91" i="4"/>
  <c r="I93" i="4"/>
  <c r="L95" i="4"/>
  <c r="N97" i="4"/>
  <c r="Q99" i="4"/>
  <c r="T101" i="4"/>
  <c r="B104" i="4"/>
  <c r="L105" i="4"/>
  <c r="T106" i="4"/>
  <c r="H108" i="4"/>
  <c r="Q109" i="4"/>
  <c r="E111" i="4"/>
  <c r="M112" i="4"/>
  <c r="B114" i="4"/>
  <c r="J115" i="4"/>
  <c r="R116" i="4"/>
  <c r="H118" i="4"/>
  <c r="P119" i="4"/>
  <c r="D121" i="4"/>
  <c r="M122" i="4"/>
  <c r="U123" i="4"/>
  <c r="I125" i="4"/>
  <c r="R126" i="4"/>
  <c r="F128" i="4"/>
  <c r="N129" i="4"/>
  <c r="D131" i="4"/>
  <c r="L132" i="4"/>
  <c r="T133" i="4"/>
  <c r="I135" i="4"/>
  <c r="Q136" i="4"/>
  <c r="E138" i="4"/>
  <c r="N139" i="4"/>
  <c r="B141" i="4"/>
  <c r="J142" i="4"/>
  <c r="T143" i="4"/>
  <c r="H145" i="4"/>
  <c r="P146" i="4"/>
  <c r="E148" i="4"/>
  <c r="M149" i="4"/>
  <c r="U150" i="4"/>
  <c r="J152" i="4"/>
  <c r="R153" i="4"/>
  <c r="F155" i="4"/>
  <c r="P156" i="4"/>
  <c r="D158" i="4"/>
  <c r="L159" i="4"/>
  <c r="U160" i="4"/>
  <c r="I162" i="4"/>
  <c r="Q163" i="4"/>
  <c r="F165" i="4"/>
  <c r="N166" i="4"/>
  <c r="E13" i="4"/>
  <c r="P20" i="4"/>
  <c r="O27" i="4"/>
  <c r="J33" i="4"/>
  <c r="C39" i="4"/>
  <c r="F44" i="4"/>
  <c r="S47" i="4"/>
  <c r="P50" i="4"/>
  <c r="L53" i="4"/>
  <c r="I56" i="4"/>
  <c r="G59" i="4"/>
  <c r="C62" i="4"/>
  <c r="T64" i="4"/>
  <c r="Q67" i="4"/>
  <c r="M70" i="4"/>
  <c r="K73" i="4"/>
  <c r="H76" i="4"/>
  <c r="S79" i="4"/>
  <c r="P82" i="4"/>
  <c r="L85" i="4"/>
  <c r="I88" i="4"/>
  <c r="T90" i="4"/>
  <c r="B93" i="4"/>
  <c r="E95" i="4"/>
  <c r="H97" i="4"/>
  <c r="J99" i="4"/>
  <c r="M101" i="4"/>
  <c r="P103" i="4"/>
  <c r="F105" i="4"/>
  <c r="N106" i="4"/>
  <c r="B108" i="4"/>
  <c r="L109" i="4"/>
  <c r="T110" i="4"/>
  <c r="H112" i="4"/>
  <c r="Q113" i="4"/>
  <c r="E115" i="4"/>
  <c r="M116" i="4"/>
  <c r="B118" i="4"/>
  <c r="J119" i="4"/>
  <c r="R120" i="4"/>
  <c r="H122" i="4"/>
  <c r="P123" i="4"/>
  <c r="D125" i="4"/>
  <c r="M126" i="4"/>
  <c r="U127" i="4"/>
  <c r="I129" i="4"/>
  <c r="R130" i="4"/>
  <c r="F132" i="4"/>
  <c r="N133" i="4"/>
  <c r="D135" i="4"/>
  <c r="L136" i="4"/>
  <c r="T137" i="4"/>
  <c r="P139" i="4"/>
  <c r="D141" i="4"/>
  <c r="M142" i="4"/>
  <c r="U143" i="4"/>
  <c r="I145" i="4"/>
  <c r="R146" i="4"/>
  <c r="F148" i="4"/>
  <c r="N149" i="4"/>
  <c r="D151" i="4"/>
  <c r="L152" i="4"/>
  <c r="T153" i="4"/>
  <c r="I155" i="4"/>
  <c r="Q156" i="4"/>
  <c r="E158" i="4"/>
  <c r="N159" i="4"/>
  <c r="B161" i="4"/>
  <c r="J162" i="4"/>
  <c r="T163" i="4"/>
  <c r="H165" i="4"/>
  <c r="P166" i="4"/>
  <c r="H15" i="4"/>
  <c r="P24" i="4"/>
  <c r="Q30" i="4"/>
  <c r="J36" i="4"/>
  <c r="C42" i="4"/>
  <c r="G46" i="4"/>
  <c r="I49" i="4"/>
  <c r="E52" i="4"/>
  <c r="C55" i="4"/>
  <c r="T57" i="4"/>
  <c r="P60" i="4"/>
  <c r="M63" i="4"/>
  <c r="K66" i="4"/>
  <c r="G69" i="4"/>
  <c r="D72" i="4"/>
  <c r="U74" i="4"/>
  <c r="Q77" i="4"/>
  <c r="O80" i="4"/>
  <c r="L83" i="4"/>
  <c r="H86" i="4"/>
  <c r="E89" i="4"/>
  <c r="L91" i="4"/>
  <c r="N93" i="4"/>
  <c r="Q95" i="4"/>
  <c r="T97" i="4"/>
  <c r="B100" i="4"/>
  <c r="E102" i="4"/>
  <c r="M104" i="4"/>
  <c r="B106" i="4"/>
  <c r="J107" i="4"/>
  <c r="R108" i="4"/>
  <c r="H110" i="4"/>
  <c r="P111" i="4"/>
  <c r="D113" i="4"/>
  <c r="M114" i="4"/>
  <c r="H116" i="4"/>
  <c r="Q117" i="4"/>
  <c r="E119" i="4"/>
  <c r="U120" i="4"/>
  <c r="P122" i="4"/>
  <c r="M125" i="4"/>
  <c r="J128" i="4"/>
  <c r="F131" i="4"/>
  <c r="D134" i="4"/>
  <c r="M136" i="4"/>
  <c r="J139" i="4"/>
  <c r="H142" i="4"/>
  <c r="D145" i="4"/>
  <c r="F147" i="4"/>
  <c r="J150" i="4"/>
  <c r="H153" i="4"/>
  <c r="E156" i="4"/>
  <c r="U158" i="4"/>
  <c r="R161" i="4"/>
  <c r="P164" i="4"/>
  <c r="H53" i="4"/>
  <c r="Q60" i="4"/>
  <c r="I66" i="4"/>
  <c r="I70" i="4"/>
  <c r="I74" i="4"/>
  <c r="S77" i="4"/>
  <c r="S81" i="4"/>
  <c r="M85" i="4"/>
  <c r="H89" i="4"/>
  <c r="G92" i="4"/>
  <c r="G95" i="4"/>
  <c r="S97" i="4"/>
  <c r="S100" i="4"/>
  <c r="S103" i="4"/>
  <c r="G106" i="4"/>
  <c r="C108" i="4"/>
  <c r="G110" i="4"/>
  <c r="S111" i="4"/>
  <c r="O113" i="4"/>
  <c r="S115" i="4"/>
  <c r="O117" i="4"/>
  <c r="G119" i="4"/>
  <c r="K121" i="4"/>
  <c r="G123" i="4"/>
  <c r="C125" i="4"/>
  <c r="G127" i="4"/>
  <c r="S128" i="4"/>
  <c r="O130" i="4"/>
  <c r="S132" i="4"/>
  <c r="O134" i="4"/>
  <c r="G136" i="4"/>
  <c r="K138" i="4"/>
  <c r="G140" i="4"/>
  <c r="G142" i="4"/>
  <c r="G144" i="4"/>
  <c r="S145" i="4"/>
  <c r="S147" i="4"/>
  <c r="S149" i="4"/>
  <c r="S151" i="4"/>
  <c r="K153" i="4"/>
  <c r="K155" i="4"/>
  <c r="K157" i="4"/>
  <c r="G159" i="4"/>
  <c r="K161" i="4"/>
  <c r="C163" i="4"/>
  <c r="S164" i="4"/>
  <c r="Q9" i="4"/>
  <c r="H18" i="4"/>
  <c r="U25" i="4"/>
  <c r="Q33" i="4"/>
  <c r="E40" i="4"/>
  <c r="K45" i="4"/>
  <c r="Q49" i="4"/>
  <c r="O52" i="4"/>
  <c r="S55" i="4"/>
  <c r="Q59" i="4"/>
  <c r="U62" i="4"/>
  <c r="Q65" i="4"/>
  <c r="P69" i="4"/>
  <c r="T72" i="4"/>
  <c r="K76" i="4"/>
  <c r="C80" i="4"/>
  <c r="S82" i="4"/>
  <c r="P85" i="4"/>
  <c r="M88" i="4"/>
  <c r="Q90" i="4"/>
  <c r="N92" i="4"/>
  <c r="Q94" i="4"/>
  <c r="I96" i="4"/>
  <c r="F98" i="4"/>
  <c r="I100" i="4"/>
  <c r="F102" i="4"/>
  <c r="R103" i="4"/>
  <c r="U105" i="4"/>
  <c r="R107" i="4"/>
  <c r="P109" i="4"/>
  <c r="R111" i="4"/>
  <c r="J113" i="4"/>
  <c r="H115" i="4"/>
  <c r="J117" i="4"/>
  <c r="H119" i="4"/>
  <c r="T120" i="4"/>
  <c r="B123" i="4"/>
  <c r="N124" i="4"/>
  <c r="U125" i="4"/>
  <c r="M127" i="4"/>
  <c r="T128" i="4"/>
  <c r="F130" i="4"/>
  <c r="R131" i="4"/>
  <c r="E133" i="4"/>
  <c r="L134" i="4"/>
  <c r="D136" i="4"/>
  <c r="J137" i="4"/>
  <c r="Q138" i="4"/>
  <c r="I140" i="4"/>
  <c r="P141" i="4"/>
  <c r="B143" i="4"/>
  <c r="N144" i="4"/>
  <c r="U145" i="4"/>
  <c r="H147" i="4"/>
  <c r="T148" i="4"/>
  <c r="F150" i="4"/>
  <c r="M151" i="4"/>
  <c r="E153" i="4"/>
  <c r="L154" i="4"/>
  <c r="R155" i="4"/>
  <c r="J157" i="4"/>
  <c r="Q158" i="4"/>
  <c r="D160" i="4"/>
  <c r="P161" i="4"/>
  <c r="B163" i="4"/>
  <c r="I164" i="4"/>
  <c r="U165" i="4"/>
  <c r="B11" i="4"/>
  <c r="P15" i="4"/>
  <c r="J21" i="4"/>
  <c r="C26" i="4"/>
  <c r="O29" i="4"/>
  <c r="U33" i="4"/>
  <c r="K37" i="4"/>
  <c r="B41" i="4"/>
  <c r="N44" i="4"/>
  <c r="B47" i="4"/>
  <c r="S48" i="4"/>
  <c r="U50" i="4"/>
  <c r="P52" i="4"/>
  <c r="L54" i="4"/>
  <c r="O56" i="4"/>
  <c r="K58" i="4"/>
  <c r="E60" i="4"/>
  <c r="H62" i="4"/>
  <c r="D64" i="4"/>
  <c r="T65" i="4"/>
  <c r="C68" i="4"/>
  <c r="Q69" i="4"/>
  <c r="M71" i="4"/>
  <c r="P73" i="4"/>
  <c r="L75" i="4"/>
  <c r="G77" i="4"/>
  <c r="I79" i="4"/>
  <c r="E81" i="4"/>
  <c r="U82" i="4"/>
  <c r="D85" i="4"/>
  <c r="S86" i="4"/>
  <c r="O88" i="4"/>
  <c r="M90" i="4"/>
  <c r="T91" i="4"/>
  <c r="F93" i="4"/>
  <c r="R94" i="4"/>
  <c r="E96" i="4"/>
  <c r="L97" i="4"/>
  <c r="D99" i="4"/>
  <c r="J100" i="4"/>
  <c r="Q101" i="4"/>
  <c r="I103" i="4"/>
  <c r="E17" i="4"/>
  <c r="J123" i="4"/>
  <c r="I127" i="4"/>
  <c r="T130" i="4"/>
  <c r="J134" i="4"/>
  <c r="D139" i="4"/>
  <c r="N142" i="4"/>
  <c r="M146" i="4"/>
  <c r="R150" i="4"/>
  <c r="I154" i="4"/>
  <c r="T157" i="4"/>
  <c r="E162" i="4"/>
  <c r="D166" i="4"/>
  <c r="U15" i="4"/>
  <c r="B27" i="4"/>
  <c r="C34" i="4"/>
  <c r="F41" i="4"/>
  <c r="L47" i="4"/>
  <c r="C51" i="4"/>
  <c r="M54" i="4"/>
  <c r="S58" i="4"/>
  <c r="K62" i="4"/>
  <c r="U65" i="4"/>
  <c r="G70" i="4"/>
  <c r="Q73" i="4"/>
  <c r="I77" i="4"/>
  <c r="O81" i="4"/>
  <c r="E85" i="4"/>
  <c r="P88" i="4"/>
  <c r="F92" i="4"/>
  <c r="T94" i="4"/>
  <c r="M97" i="4"/>
  <c r="Q100" i="4"/>
  <c r="J103" i="4"/>
  <c r="I105" i="4"/>
  <c r="L107" i="4"/>
  <c r="H109" i="4"/>
  <c r="D111" i="4"/>
  <c r="F113" i="4"/>
  <c r="U114" i="4"/>
  <c r="Q116" i="4"/>
  <c r="T118" i="4"/>
  <c r="P120" i="4"/>
  <c r="J122" i="4"/>
  <c r="M124" i="4"/>
  <c r="I126" i="4"/>
  <c r="E128" i="4"/>
  <c r="H130" i="4"/>
  <c r="B132" i="4"/>
  <c r="R133" i="4"/>
  <c r="U135" i="4"/>
  <c r="Q137" i="4"/>
  <c r="L139" i="4"/>
  <c r="N141" i="4"/>
  <c r="J143" i="4"/>
  <c r="F145" i="4"/>
  <c r="I147" i="4"/>
  <c r="D149" i="4"/>
  <c r="T150" i="4"/>
  <c r="B153" i="4"/>
  <c r="R154" i="4"/>
  <c r="M156" i="4"/>
  <c r="P158" i="4"/>
  <c r="L160" i="4"/>
  <c r="H162" i="4"/>
  <c r="J164" i="4"/>
  <c r="E166" i="4"/>
  <c r="H14" i="4"/>
  <c r="P25" i="4"/>
  <c r="S32" i="4"/>
  <c r="U39" i="4"/>
  <c r="Q46" i="4"/>
  <c r="K50" i="4"/>
  <c r="U53" i="4"/>
  <c r="G58" i="4"/>
  <c r="Q61" i="4"/>
  <c r="I65" i="4"/>
  <c r="O69" i="4"/>
  <c r="E73" i="4"/>
  <c r="P76" i="4"/>
  <c r="U80" i="4"/>
  <c r="M84" i="4"/>
  <c r="D88" i="4"/>
  <c r="Q91" i="4"/>
  <c r="J94" i="4"/>
  <c r="D97" i="4"/>
  <c r="H100" i="4"/>
  <c r="U102" i="4"/>
  <c r="D105" i="4"/>
  <c r="F107" i="4"/>
  <c r="B109" i="4"/>
  <c r="R110" i="4"/>
  <c r="U112" i="4"/>
  <c r="P114" i="4"/>
  <c r="L116" i="4"/>
  <c r="N118" i="4"/>
  <c r="J120" i="4"/>
  <c r="E122" i="4"/>
  <c r="H124" i="4"/>
  <c r="D126" i="4"/>
  <c r="T127" i="4"/>
  <c r="B130" i="4"/>
  <c r="Q131" i="4"/>
  <c r="M133" i="4"/>
  <c r="P135" i="4"/>
  <c r="L137" i="4"/>
  <c r="F139" i="4"/>
  <c r="I141" i="4"/>
  <c r="E143" i="4"/>
  <c r="U144" i="4"/>
  <c r="D147" i="4"/>
  <c r="R148" i="4"/>
  <c r="N150" i="4"/>
  <c r="Q152" i="4"/>
  <c r="M154" i="4"/>
  <c r="H156" i="4"/>
  <c r="J158" i="4"/>
  <c r="F160" i="4"/>
  <c r="B162" i="4"/>
  <c r="E164" i="4"/>
  <c r="T165" i="4"/>
  <c r="E11" i="4"/>
  <c r="M22" i="4"/>
  <c r="M30" i="4"/>
  <c r="O37" i="4"/>
  <c r="F45" i="4"/>
  <c r="G49" i="4"/>
  <c r="S52" i="4"/>
  <c r="D57" i="4"/>
  <c r="O60" i="4"/>
  <c r="E64" i="4"/>
  <c r="K68" i="4"/>
  <c r="C72" i="4"/>
  <c r="M75" i="4"/>
  <c r="M80" i="4"/>
  <c r="D84" i="4"/>
  <c r="O87" i="4"/>
  <c r="J91" i="4"/>
  <c r="D94" i="4"/>
  <c r="Q96" i="4"/>
  <c r="U99" i="4"/>
  <c r="N102" i="4"/>
  <c r="R104" i="4"/>
  <c r="U106" i="4"/>
  <c r="Q108" i="4"/>
  <c r="M110" i="4"/>
  <c r="P112" i="4"/>
  <c r="J114" i="4"/>
  <c r="F116" i="4"/>
  <c r="I118" i="4"/>
  <c r="E120" i="4"/>
  <c r="T121" i="4"/>
  <c r="B124" i="4"/>
  <c r="R125" i="4"/>
  <c r="N127" i="4"/>
  <c r="Q129" i="4"/>
  <c r="L131" i="4"/>
  <c r="H133" i="4"/>
  <c r="J135" i="4"/>
  <c r="F137" i="4"/>
  <c r="I139" i="4"/>
  <c r="L141" i="4"/>
  <c r="F143" i="4"/>
  <c r="B145" i="4"/>
  <c r="E147" i="4"/>
  <c r="U148" i="4"/>
  <c r="P150" i="4"/>
  <c r="R152" i="4"/>
  <c r="N154" i="4"/>
  <c r="J156" i="4"/>
  <c r="M158" i="4"/>
  <c r="H160" i="4"/>
  <c r="D162" i="4"/>
  <c r="F164" i="4"/>
  <c r="B166" i="4"/>
  <c r="H13" i="4"/>
  <c r="K26" i="4"/>
  <c r="M33" i="4"/>
  <c r="O40" i="4"/>
  <c r="G47" i="4"/>
  <c r="Q50" i="4"/>
  <c r="H54" i="4"/>
  <c r="M58" i="4"/>
  <c r="E62" i="4"/>
  <c r="P65" i="4"/>
  <c r="U69" i="4"/>
  <c r="L73" i="4"/>
  <c r="D77" i="4"/>
  <c r="I81" i="4"/>
  <c r="T84" i="4"/>
  <c r="K88" i="4"/>
  <c r="B92" i="4"/>
  <c r="P94" i="4"/>
  <c r="I97" i="4"/>
  <c r="M100" i="4"/>
  <c r="F103" i="4"/>
  <c r="N105" i="4"/>
  <c r="Q107" i="4"/>
  <c r="M109" i="4"/>
  <c r="I111" i="4"/>
  <c r="L113" i="4"/>
  <c r="F115" i="4"/>
  <c r="I117" i="4"/>
  <c r="L119" i="4"/>
  <c r="N121" i="4"/>
  <c r="L124" i="4"/>
  <c r="D129" i="4"/>
  <c r="P132" i="4"/>
  <c r="T135" i="4"/>
  <c r="E140" i="4"/>
  <c r="P143" i="4"/>
  <c r="T146" i="4"/>
  <c r="E151" i="4"/>
  <c r="P154" i="4"/>
  <c r="H158" i="4"/>
  <c r="M162" i="4"/>
  <c r="Q165" i="4"/>
  <c r="H41" i="4"/>
  <c r="E55" i="4"/>
  <c r="T62" i="4"/>
  <c r="U67" i="4"/>
  <c r="P71" i="4"/>
  <c r="P75" i="4"/>
  <c r="E79" i="4"/>
  <c r="E83" i="4"/>
  <c r="E87" i="4"/>
  <c r="K90" i="4"/>
  <c r="K93" i="4"/>
  <c r="G96" i="4"/>
  <c r="C99" i="4"/>
  <c r="S101" i="4"/>
  <c r="S104" i="4"/>
  <c r="K106" i="4"/>
  <c r="O108" i="4"/>
  <c r="K110" i="4"/>
  <c r="G112" i="4"/>
  <c r="K114" i="4"/>
  <c r="C116" i="4"/>
  <c r="S117" i="4"/>
  <c r="C120" i="4"/>
  <c r="S121" i="4"/>
  <c r="K123" i="4"/>
  <c r="O125" i="4"/>
  <c r="K127" i="4"/>
  <c r="K129" i="4"/>
  <c r="K131" i="4"/>
  <c r="C133" i="4"/>
  <c r="C135" i="4"/>
  <c r="C137" i="4"/>
  <c r="C139" i="4"/>
  <c r="O140" i="4"/>
  <c r="O142" i="4"/>
  <c r="O144" i="4"/>
  <c r="K146" i="4"/>
  <c r="O148" i="4"/>
  <c r="G150" i="4"/>
  <c r="C152" i="4"/>
  <c r="G154" i="4"/>
  <c r="C156" i="4"/>
  <c r="O157" i="4"/>
  <c r="S159" i="4"/>
  <c r="O161" i="4"/>
  <c r="K163" i="4"/>
  <c r="O165" i="4"/>
  <c r="Q10" i="4"/>
  <c r="H19" i="4"/>
  <c r="Q28" i="4"/>
  <c r="E35" i="4"/>
  <c r="S40" i="4"/>
  <c r="S46" i="4"/>
  <c r="E50" i="4"/>
  <c r="P53" i="4"/>
  <c r="G57" i="4"/>
  <c r="D60" i="4"/>
  <c r="O63" i="4"/>
  <c r="G67" i="4"/>
  <c r="Q70" i="4"/>
  <c r="O73" i="4"/>
  <c r="E77" i="4"/>
  <c r="P80" i="4"/>
  <c r="T83" i="4"/>
  <c r="Q86" i="4"/>
  <c r="G89" i="4"/>
  <c r="B91" i="4"/>
  <c r="E93" i="4"/>
  <c r="B95" i="4"/>
  <c r="T96" i="4"/>
  <c r="B99" i="4"/>
  <c r="N100" i="4"/>
  <c r="L102" i="4"/>
  <c r="N104" i="4"/>
  <c r="L106" i="4"/>
  <c r="D108" i="4"/>
  <c r="F110" i="4"/>
  <c r="D112" i="4"/>
  <c r="U113" i="4"/>
  <c r="D116" i="4"/>
  <c r="P117" i="4"/>
  <c r="M119" i="4"/>
  <c r="P121" i="4"/>
  <c r="M123" i="4"/>
  <c r="T124" i="4"/>
  <c r="L126" i="4"/>
  <c r="R127" i="4"/>
  <c r="E129" i="4"/>
  <c r="Q130" i="4"/>
  <c r="D132" i="4"/>
  <c r="J133" i="4"/>
  <c r="B135" i="4"/>
  <c r="I136" i="4"/>
  <c r="P137" i="4"/>
  <c r="H139" i="4"/>
  <c r="N140" i="4"/>
  <c r="U141" i="4"/>
  <c r="M143" i="4"/>
  <c r="T144" i="4"/>
  <c r="F146" i="4"/>
  <c r="R147" i="4"/>
  <c r="E149" i="4"/>
  <c r="L150" i="4"/>
  <c r="D152" i="4"/>
  <c r="J153" i="4"/>
  <c r="Q154" i="4"/>
  <c r="I156" i="4"/>
  <c r="P157" i="4"/>
  <c r="B159" i="4"/>
  <c r="N160" i="4"/>
  <c r="U161" i="4"/>
  <c r="H163" i="4"/>
  <c r="T164" i="4"/>
  <c r="F166" i="4"/>
  <c r="T11" i="4"/>
  <c r="M17" i="4"/>
  <c r="I22" i="4"/>
  <c r="R26" i="4"/>
  <c r="C31" i="4"/>
  <c r="N34" i="4"/>
  <c r="F38" i="4"/>
  <c r="K42" i="4"/>
  <c r="E45" i="4"/>
  <c r="I47" i="4"/>
  <c r="L49" i="4"/>
  <c r="H51" i="4"/>
  <c r="D53" i="4"/>
  <c r="G55" i="4"/>
  <c r="U56" i="4"/>
  <c r="Q58" i="4"/>
  <c r="T60" i="4"/>
  <c r="P62" i="4"/>
  <c r="K64" i="4"/>
  <c r="M66" i="4"/>
  <c r="I68" i="4"/>
  <c r="E70" i="4"/>
  <c r="H72" i="4"/>
  <c r="C74" i="4"/>
  <c r="S75" i="4"/>
  <c r="U77" i="4"/>
  <c r="Q79" i="4"/>
  <c r="L81" i="4"/>
  <c r="O83" i="4"/>
  <c r="K85" i="4"/>
  <c r="G87" i="4"/>
  <c r="I89" i="4"/>
  <c r="R90" i="4"/>
  <c r="E92" i="4"/>
  <c r="Q93" i="4"/>
  <c r="D95" i="4"/>
  <c r="J96" i="4"/>
  <c r="B98" i="4"/>
  <c r="I99" i="4"/>
  <c r="P100" i="4"/>
  <c r="H102" i="4"/>
  <c r="N103" i="4"/>
  <c r="F104" i="4"/>
  <c r="R124" i="4"/>
  <c r="B128" i="4"/>
  <c r="N131" i="4"/>
  <c r="F136" i="4"/>
  <c r="Q139" i="4"/>
  <c r="I143" i="4"/>
  <c r="H148" i="4"/>
  <c r="L151" i="4"/>
  <c r="D155" i="4"/>
  <c r="I159" i="4"/>
  <c r="T162" i="4"/>
  <c r="R166" i="4"/>
  <c r="P19" i="4"/>
  <c r="J28" i="4"/>
  <c r="M35" i="4"/>
  <c r="R43" i="4"/>
  <c r="E48" i="4"/>
  <c r="Q51" i="4"/>
  <c r="C56" i="4"/>
  <c r="M59" i="4"/>
  <c r="D63" i="4"/>
  <c r="I67" i="4"/>
  <c r="U70" i="4"/>
  <c r="L74" i="4"/>
  <c r="Q78" i="4"/>
  <c r="H82" i="4"/>
  <c r="T85" i="4"/>
  <c r="D90" i="4"/>
  <c r="Q92" i="4"/>
  <c r="J95" i="4"/>
  <c r="N98" i="4"/>
  <c r="H101" i="4"/>
  <c r="U103" i="4"/>
  <c r="D106" i="4"/>
  <c r="T107" i="4"/>
  <c r="N109" i="4"/>
  <c r="Q111" i="4"/>
  <c r="M113" i="4"/>
  <c r="I115" i="4"/>
  <c r="L117" i="4"/>
  <c r="F119" i="4"/>
  <c r="B121" i="4"/>
  <c r="E123" i="4"/>
  <c r="U124" i="4"/>
  <c r="P126" i="4"/>
  <c r="R128" i="4"/>
  <c r="N130" i="4"/>
  <c r="J132" i="4"/>
  <c r="M134" i="4"/>
  <c r="H136" i="4"/>
  <c r="D138" i="4"/>
  <c r="F140" i="4"/>
  <c r="B142" i="4"/>
  <c r="Q143" i="4"/>
  <c r="T145" i="4"/>
  <c r="P147" i="4"/>
  <c r="L149" i="4"/>
  <c r="N151" i="4"/>
  <c r="I153" i="4"/>
  <c r="E155" i="4"/>
  <c r="H157" i="4"/>
  <c r="D159" i="4"/>
  <c r="R160" i="4"/>
  <c r="U162" i="4"/>
  <c r="M166" i="4"/>
  <c r="D18" i="4"/>
  <c r="E27" i="4"/>
  <c r="G34" i="4"/>
  <c r="R42" i="4"/>
  <c r="M47" i="4"/>
  <c r="D51" i="4"/>
  <c r="I55" i="4"/>
  <c r="U58" i="4"/>
  <c r="L62" i="4"/>
  <c r="Q66" i="4"/>
  <c r="H70" i="4"/>
  <c r="T73" i="4"/>
  <c r="E78" i="4"/>
  <c r="P81" i="4"/>
  <c r="G85" i="4"/>
  <c r="L89" i="4"/>
  <c r="H92" i="4"/>
  <c r="U94" i="4"/>
  <c r="E98" i="4"/>
  <c r="R100" i="4"/>
  <c r="L103" i="4"/>
  <c r="R105" i="4"/>
  <c r="N107" i="4"/>
  <c r="I109" i="4"/>
  <c r="L111" i="4"/>
  <c r="H113" i="4"/>
  <c r="D115" i="4"/>
  <c r="F117" i="4"/>
  <c r="U118" i="4"/>
  <c r="Q120" i="4"/>
  <c r="T122" i="4"/>
  <c r="P124" i="4"/>
  <c r="J126" i="4"/>
  <c r="M128" i="4"/>
  <c r="I130" i="4"/>
  <c r="E132" i="4"/>
  <c r="H134" i="4"/>
  <c r="B136" i="4"/>
  <c r="R137" i="4"/>
  <c r="U139" i="4"/>
  <c r="Q141" i="4"/>
  <c r="L143" i="4"/>
  <c r="N145" i="4"/>
  <c r="J147" i="4"/>
  <c r="F149" i="4"/>
  <c r="I151" i="4"/>
  <c r="D153" i="4"/>
  <c r="T154" i="4"/>
  <c r="B157" i="4"/>
  <c r="R158" i="4"/>
  <c r="M160" i="4"/>
  <c r="P162" i="4"/>
  <c r="L164" i="4"/>
  <c r="H166" i="4"/>
  <c r="B15" i="4"/>
  <c r="L24" i="4"/>
  <c r="U31" i="4"/>
  <c r="K40" i="4"/>
  <c r="F46" i="4"/>
  <c r="U49" i="4"/>
  <c r="G54" i="4"/>
  <c r="Q57" i="4"/>
  <c r="I61" i="4"/>
  <c r="O65" i="4"/>
  <c r="E69" i="4"/>
  <c r="P72" i="4"/>
  <c r="P77" i="4"/>
  <c r="G81" i="4"/>
  <c r="S84" i="4"/>
  <c r="D89" i="4"/>
  <c r="U91" i="4"/>
  <c r="N94" i="4"/>
  <c r="R97" i="4"/>
  <c r="L100" i="4"/>
  <c r="E103" i="4"/>
  <c r="M105" i="4"/>
  <c r="I107" i="4"/>
  <c r="D109" i="4"/>
  <c r="F111" i="4"/>
  <c r="B113" i="4"/>
  <c r="R114" i="4"/>
  <c r="U116" i="4"/>
  <c r="P118" i="4"/>
  <c r="L120" i="4"/>
  <c r="N122" i="4"/>
  <c r="J124" i="4"/>
  <c r="E126" i="4"/>
  <c r="H128" i="4"/>
  <c r="L68" i="4"/>
  <c r="K83" i="4"/>
  <c r="G107" i="4"/>
  <c r="K137" i="4"/>
  <c r="D65" i="4"/>
  <c r="P90" i="4"/>
  <c r="T58" i="4"/>
  <c r="D70" i="4"/>
  <c r="M77" i="4"/>
  <c r="C85" i="4"/>
  <c r="C92" i="4"/>
  <c r="O97" i="4"/>
  <c r="G103" i="4"/>
  <c r="K107" i="4"/>
  <c r="K111" i="4"/>
  <c r="C115" i="4"/>
  <c r="C119" i="4"/>
  <c r="C123" i="4"/>
  <c r="K126" i="4"/>
  <c r="K130" i="4"/>
  <c r="G134" i="4"/>
  <c r="S137" i="4"/>
  <c r="O141" i="4"/>
  <c r="O145" i="4"/>
  <c r="C149" i="4"/>
  <c r="C153" i="4"/>
  <c r="C157" i="4"/>
  <c r="O160" i="4"/>
  <c r="O164" i="4"/>
  <c r="J15" i="4"/>
  <c r="N31" i="4"/>
  <c r="K44" i="4"/>
  <c r="H52" i="4"/>
  <c r="H58" i="4"/>
  <c r="K65" i="4"/>
  <c r="M72" i="4"/>
  <c r="M78" i="4"/>
  <c r="I85" i="4"/>
  <c r="L90" i="4"/>
  <c r="U93" i="4"/>
  <c r="U97" i="4"/>
  <c r="P101" i="4"/>
  <c r="J105" i="4"/>
  <c r="E109" i="4"/>
  <c r="E113" i="4"/>
  <c r="N116" i="4"/>
  <c r="N120" i="4"/>
  <c r="I124" i="4"/>
  <c r="B127" i="4"/>
  <c r="U129" i="4"/>
  <c r="T132" i="4"/>
  <c r="M135" i="4"/>
  <c r="L138" i="4"/>
  <c r="J141" i="4"/>
  <c r="D144" i="4"/>
  <c r="B147" i="4"/>
  <c r="U149" i="4"/>
  <c r="N152" i="4"/>
  <c r="M155" i="4"/>
  <c r="L158" i="4"/>
  <c r="E161" i="4"/>
  <c r="D164" i="4"/>
  <c r="B10" i="4"/>
  <c r="M19" i="4"/>
  <c r="U28" i="4"/>
  <c r="Q36" i="4"/>
  <c r="O43" i="4"/>
  <c r="K48" i="4"/>
  <c r="I52" i="4"/>
  <c r="T55" i="4"/>
  <c r="S59" i="4"/>
  <c r="Q63" i="4"/>
  <c r="H67" i="4"/>
  <c r="G71" i="4"/>
  <c r="D75" i="4"/>
  <c r="P78" i="4"/>
  <c r="M82" i="4"/>
  <c r="L86" i="4"/>
  <c r="B90" i="4"/>
  <c r="U92" i="4"/>
  <c r="T95" i="4"/>
  <c r="M98" i="4"/>
  <c r="L101" i="4"/>
  <c r="N138" i="4"/>
  <c r="T125" i="4"/>
  <c r="Q133" i="4"/>
  <c r="T141" i="4"/>
  <c r="I149" i="4"/>
  <c r="F157" i="4"/>
  <c r="I165" i="4"/>
  <c r="M23" i="4"/>
  <c r="R39" i="4"/>
  <c r="H50" i="4"/>
  <c r="K57" i="4"/>
  <c r="G65" i="4"/>
  <c r="D73" i="4"/>
  <c r="E80" i="4"/>
  <c r="C88" i="4"/>
  <c r="I94" i="4"/>
  <c r="P99" i="4"/>
  <c r="B105" i="4"/>
  <c r="U108" i="4"/>
  <c r="L112" i="4"/>
  <c r="J116" i="4"/>
  <c r="H120" i="4"/>
  <c r="T123" i="4"/>
  <c r="Q127" i="4"/>
  <c r="P131" i="4"/>
  <c r="F135" i="4"/>
  <c r="E139" i="4"/>
  <c r="D143" i="4"/>
  <c r="N146" i="4"/>
  <c r="M150" i="4"/>
  <c r="J154" i="4"/>
  <c r="B158" i="4"/>
  <c r="T161" i="4"/>
  <c r="D165" i="4"/>
  <c r="U19" i="4"/>
  <c r="E37" i="4"/>
  <c r="H48" i="4"/>
  <c r="D56" i="4"/>
  <c r="T63" i="4"/>
  <c r="C71" i="4"/>
  <c r="S78" i="4"/>
  <c r="P86" i="4"/>
  <c r="R92" i="4"/>
  <c r="P98" i="4"/>
  <c r="J104" i="4"/>
  <c r="U107" i="4"/>
  <c r="T111" i="4"/>
  <c r="Q115" i="4"/>
  <c r="I119" i="4"/>
  <c r="F123" i="4"/>
  <c r="E127" i="4"/>
  <c r="P130" i="4"/>
  <c r="N134" i="4"/>
  <c r="M138" i="4"/>
  <c r="D142" i="4"/>
  <c r="B146" i="4"/>
  <c r="T149" i="4"/>
  <c r="L153" i="4"/>
  <c r="I157" i="4"/>
  <c r="H161" i="4"/>
  <c r="R164" i="4"/>
  <c r="T16" i="4"/>
  <c r="R34" i="4"/>
  <c r="C47" i="4"/>
  <c r="U54" i="4"/>
  <c r="Q62" i="4"/>
  <c r="T69" i="4"/>
  <c r="K78" i="4"/>
  <c r="G86" i="4"/>
  <c r="L92" i="4"/>
  <c r="I98" i="4"/>
  <c r="E104" i="4"/>
  <c r="P107" i="4"/>
  <c r="N111" i="4"/>
  <c r="L115" i="4"/>
  <c r="D119" i="4"/>
  <c r="U122" i="4"/>
  <c r="T126" i="4"/>
  <c r="D130" i="4"/>
  <c r="M132" i="4"/>
  <c r="P134" i="4"/>
  <c r="M137" i="4"/>
  <c r="J140" i="4"/>
  <c r="T142" i="4"/>
  <c r="Q145" i="4"/>
  <c r="T147" i="4"/>
  <c r="I150" i="4"/>
  <c r="F153" i="4"/>
  <c r="P155" i="4"/>
  <c r="R157" i="4"/>
  <c r="P160" i="4"/>
  <c r="E163" i="4"/>
  <c r="N165" i="4"/>
  <c r="B19" i="4"/>
  <c r="G29" i="4"/>
  <c r="G39" i="4"/>
  <c r="T47" i="4"/>
  <c r="T52" i="4"/>
  <c r="E57" i="4"/>
  <c r="S62" i="4"/>
  <c r="S67" i="4"/>
  <c r="S72" i="4"/>
  <c r="L78" i="4"/>
  <c r="Q82" i="4"/>
  <c r="Q87" i="4"/>
  <c r="M92" i="4"/>
  <c r="H96" i="4"/>
  <c r="L99" i="4"/>
  <c r="Q103" i="4"/>
  <c r="P106" i="4"/>
  <c r="F109" i="4"/>
  <c r="B112" i="4"/>
  <c r="E114" i="4"/>
  <c r="B117" i="4"/>
  <c r="T119" i="4"/>
  <c r="D123" i="4"/>
  <c r="P127" i="4"/>
  <c r="I133" i="4"/>
  <c r="B138" i="4"/>
  <c r="U142" i="4"/>
  <c r="U147" i="4"/>
  <c r="M152" i="4"/>
  <c r="M157" i="4"/>
  <c r="F163" i="4"/>
  <c r="H49" i="4"/>
  <c r="Q64" i="4"/>
  <c r="G72" i="4"/>
  <c r="U79" i="4"/>
  <c r="K87" i="4"/>
  <c r="O93" i="4"/>
  <c r="K99" i="4"/>
  <c r="C105" i="4"/>
  <c r="C109" i="4"/>
  <c r="S112" i="4"/>
  <c r="O116" i="4"/>
  <c r="G120" i="4"/>
  <c r="G124" i="4"/>
  <c r="S127" i="4"/>
  <c r="S131" i="4"/>
  <c r="S135" i="4"/>
  <c r="G139" i="4"/>
  <c r="G143" i="4"/>
  <c r="C147" i="4"/>
  <c r="O150" i="4"/>
  <c r="K154" i="4"/>
  <c r="K158" i="4"/>
  <c r="S161" i="4"/>
  <c r="S165" i="4"/>
  <c r="D23" i="4"/>
  <c r="N36" i="4"/>
  <c r="C48" i="4"/>
  <c r="K54" i="4"/>
  <c r="E61" i="4"/>
  <c r="T67" i="4"/>
  <c r="C75" i="4"/>
  <c r="D81" i="4"/>
  <c r="D87" i="4"/>
  <c r="R91" i="4"/>
  <c r="H95" i="4"/>
  <c r="H99" i="4"/>
  <c r="H103" i="4"/>
  <c r="Q106" i="4"/>
  <c r="Q110" i="4"/>
  <c r="L114" i="4"/>
  <c r="F118" i="4"/>
  <c r="U121" i="4"/>
  <c r="J125" i="4"/>
  <c r="D128" i="4"/>
  <c r="B131" i="4"/>
  <c r="U133" i="4"/>
  <c r="N136" i="4"/>
  <c r="M139" i="4"/>
  <c r="L142" i="4"/>
  <c r="E145" i="4"/>
  <c r="D148" i="4"/>
  <c r="B151" i="4"/>
  <c r="P153" i="4"/>
  <c r="N156" i="4"/>
  <c r="M159" i="4"/>
  <c r="F162" i="4"/>
  <c r="E165" i="4"/>
  <c r="R13" i="4"/>
  <c r="H23" i="4"/>
  <c r="R31" i="4"/>
  <c r="N39" i="4"/>
  <c r="M45" i="4"/>
  <c r="T49" i="4"/>
  <c r="Q53" i="4"/>
  <c r="I57" i="4"/>
  <c r="G61" i="4"/>
  <c r="E65" i="4"/>
  <c r="P68" i="4"/>
  <c r="O72" i="4"/>
  <c r="M76" i="4"/>
  <c r="D80" i="4"/>
  <c r="C84" i="4"/>
  <c r="T87" i="4"/>
  <c r="D91" i="4"/>
  <c r="B94" i="4"/>
  <c r="U96" i="4"/>
  <c r="N99" i="4"/>
  <c r="M102" i="4"/>
  <c r="F120" i="4"/>
  <c r="Q128" i="4"/>
  <c r="U136" i="4"/>
  <c r="Q144" i="4"/>
  <c r="F152" i="4"/>
  <c r="B160" i="4"/>
  <c r="E12" i="4"/>
  <c r="R29" i="4"/>
  <c r="Q44" i="4"/>
  <c r="E53" i="4"/>
  <c r="H60" i="4"/>
  <c r="D68" i="4"/>
  <c r="T75" i="4"/>
  <c r="C83" i="4"/>
  <c r="N90" i="4"/>
  <c r="L96" i="4"/>
  <c r="R101" i="4"/>
  <c r="J106" i="4"/>
  <c r="I110" i="4"/>
  <c r="T113" i="4"/>
  <c r="R117" i="4"/>
  <c r="Q121" i="4"/>
  <c r="H125" i="4"/>
  <c r="F129" i="4"/>
  <c r="D133" i="4"/>
  <c r="P136" i="4"/>
  <c r="M140" i="4"/>
  <c r="L144" i="4"/>
  <c r="B148" i="4"/>
  <c r="U151" i="4"/>
  <c r="T155" i="4"/>
  <c r="J159" i="4"/>
  <c r="I163" i="4"/>
  <c r="R165" i="4"/>
  <c r="R21" i="4"/>
  <c r="M38" i="4"/>
  <c r="P49" i="4"/>
  <c r="S56" i="4"/>
  <c r="O64" i="4"/>
  <c r="K72" i="4"/>
  <c r="M79" i="4"/>
  <c r="I87" i="4"/>
  <c r="T93" i="4"/>
  <c r="F99" i="4"/>
  <c r="Q104" i="4"/>
  <c r="P108" i="4"/>
  <c r="F112" i="4"/>
  <c r="E116" i="4"/>
  <c r="B120" i="4"/>
  <c r="N123" i="4"/>
  <c r="L127" i="4"/>
  <c r="J131" i="4"/>
  <c r="U134" i="4"/>
  <c r="T138" i="4"/>
  <c r="R142" i="4"/>
  <c r="I146" i="4"/>
  <c r="H150" i="4"/>
  <c r="E154" i="4"/>
  <c r="Q157" i="4"/>
  <c r="N161" i="4"/>
  <c r="M165" i="4"/>
  <c r="R18" i="4"/>
  <c r="F36" i="4"/>
  <c r="M48" i="4"/>
  <c r="O55" i="4"/>
  <c r="L63" i="4"/>
  <c r="H71" i="4"/>
  <c r="D79" i="4"/>
  <c r="U86" i="4"/>
  <c r="M93" i="4"/>
  <c r="T98" i="4"/>
  <c r="L104" i="4"/>
  <c r="J108" i="4"/>
  <c r="U111" i="4"/>
  <c r="T115" i="4"/>
  <c r="Q119" i="4"/>
  <c r="I123" i="4"/>
  <c r="F127" i="4"/>
  <c r="J130" i="4"/>
  <c r="U132" i="4"/>
  <c r="Q135" i="4"/>
  <c r="H138" i="4"/>
  <c r="Q140" i="4"/>
  <c r="N143" i="4"/>
  <c r="D146" i="4"/>
  <c r="M148" i="4"/>
  <c r="J151" i="4"/>
  <c r="M153" i="4"/>
  <c r="B156" i="4"/>
  <c r="T158" i="4"/>
  <c r="I161" i="4"/>
  <c r="L163" i="4"/>
  <c r="I166" i="4"/>
  <c r="U20" i="4"/>
  <c r="E32" i="4"/>
  <c r="J43" i="4"/>
  <c r="O48" i="4"/>
  <c r="O53" i="4"/>
  <c r="H59" i="4"/>
  <c r="H64" i="4"/>
  <c r="M68" i="4"/>
  <c r="G74" i="4"/>
  <c r="G79" i="4"/>
  <c r="E84" i="4"/>
  <c r="T89" i="4"/>
  <c r="D93" i="4"/>
  <c r="R96" i="4"/>
  <c r="D101" i="4"/>
  <c r="U104" i="4"/>
  <c r="D107" i="4"/>
  <c r="T109" i="4"/>
  <c r="J112" i="4"/>
  <c r="T114" i="4"/>
  <c r="D118" i="4"/>
  <c r="M120" i="4"/>
  <c r="Q123" i="4"/>
  <c r="R129" i="4"/>
  <c r="R134" i="4"/>
  <c r="P138" i="4"/>
  <c r="J144" i="4"/>
  <c r="P148" i="4"/>
  <c r="B154" i="4"/>
  <c r="P159" i="4"/>
  <c r="U163" i="4"/>
  <c r="K51" i="4"/>
  <c r="D66" i="4"/>
  <c r="M73" i="4"/>
  <c r="H81" i="4"/>
  <c r="Q88" i="4"/>
  <c r="O94" i="4"/>
  <c r="O100" i="4"/>
  <c r="S105" i="4"/>
  <c r="K109" i="4"/>
  <c r="K113" i="4"/>
  <c r="C117" i="4"/>
  <c r="S120" i="4"/>
  <c r="O124" i="4"/>
  <c r="O128" i="4"/>
  <c r="C132" i="4"/>
  <c r="C136" i="4"/>
  <c r="C140" i="4"/>
  <c r="K143" i="4"/>
  <c r="K147" i="4"/>
  <c r="G151" i="4"/>
  <c r="C155" i="4"/>
  <c r="O158" i="4"/>
  <c r="O162" i="4"/>
  <c r="G166" i="4"/>
  <c r="U24" i="4"/>
  <c r="J39" i="4"/>
  <c r="I48" i="4"/>
  <c r="L55" i="4"/>
  <c r="G62" i="4"/>
  <c r="O68" i="4"/>
  <c r="I75" i="4"/>
  <c r="L82" i="4"/>
  <c r="S87" i="4"/>
  <c r="D92" i="4"/>
  <c r="D96" i="4"/>
  <c r="M99" i="4"/>
  <c r="M103" i="4"/>
  <c r="M107" i="4"/>
  <c r="B111" i="4"/>
  <c r="B115" i="4"/>
  <c r="Q118" i="4"/>
  <c r="L122" i="4"/>
  <c r="P125" i="4"/>
  <c r="N128" i="4"/>
  <c r="H131" i="4"/>
  <c r="F134" i="4"/>
  <c r="E137" i="4"/>
  <c r="R139" i="4"/>
  <c r="Q142" i="4"/>
  <c r="P145" i="4"/>
  <c r="I148" i="4"/>
  <c r="H151" i="4"/>
  <c r="F154" i="4"/>
  <c r="T156" i="4"/>
  <c r="R159" i="4"/>
  <c r="Q162" i="4"/>
  <c r="J165" i="4"/>
  <c r="Q14" i="4"/>
  <c r="F25" i="4"/>
  <c r="K32" i="4"/>
  <c r="I40" i="4"/>
  <c r="M46" i="4"/>
  <c r="G50" i="4"/>
  <c r="E54" i="4"/>
  <c r="C58" i="4"/>
  <c r="O61" i="4"/>
  <c r="L65" i="4"/>
  <c r="K69" i="4"/>
  <c r="U72" i="4"/>
  <c r="T76" i="4"/>
  <c r="S80" i="4"/>
  <c r="I84" i="4"/>
  <c r="H88" i="4"/>
  <c r="N91" i="4"/>
  <c r="H94" i="4"/>
  <c r="F97" i="4"/>
  <c r="E100" i="4"/>
  <c r="R102" i="4"/>
  <c r="I122" i="4"/>
  <c r="E130" i="4"/>
  <c r="N137" i="4"/>
  <c r="L145" i="4"/>
  <c r="N153" i="4"/>
  <c r="Q160" i="4"/>
  <c r="B14" i="4"/>
  <c r="O32" i="4"/>
  <c r="O45" i="4"/>
  <c r="T53" i="4"/>
  <c r="P61" i="4"/>
  <c r="S68" i="4"/>
  <c r="O76" i="4"/>
  <c r="K84" i="4"/>
  <c r="E91" i="4"/>
  <c r="B97" i="4"/>
  <c r="T102" i="4"/>
  <c r="R106" i="4"/>
  <c r="P110" i="4"/>
  <c r="N114" i="4"/>
  <c r="E118" i="4"/>
  <c r="D122" i="4"/>
  <c r="B126" i="4"/>
  <c r="M129" i="4"/>
  <c r="L133" i="4"/>
  <c r="I137" i="4"/>
  <c r="U140" i="4"/>
  <c r="R144" i="4"/>
  <c r="Q148" i="4"/>
  <c r="H152" i="4"/>
  <c r="F156" i="4"/>
  <c r="E160" i="4"/>
  <c r="P163" i="4"/>
  <c r="L10" i="4"/>
  <c r="N28" i="4"/>
  <c r="S43" i="4"/>
  <c r="M52" i="4"/>
  <c r="O59" i="4"/>
  <c r="L67" i="4"/>
  <c r="H75" i="4"/>
  <c r="K82" i="4"/>
  <c r="E90" i="4"/>
  <c r="B96" i="4"/>
  <c r="I101" i="4"/>
  <c r="E106" i="4"/>
  <c r="D110" i="4"/>
  <c r="N113" i="4"/>
  <c r="M117" i="4"/>
  <c r="L121" i="4"/>
  <c r="B125" i="4"/>
  <c r="U128" i="4"/>
  <c r="R132" i="4"/>
  <c r="J136" i="4"/>
  <c r="H140" i="4"/>
  <c r="F144" i="4"/>
  <c r="Q147" i="4"/>
  <c r="P151" i="4"/>
  <c r="N155" i="4"/>
  <c r="E159" i="4"/>
  <c r="D163" i="4"/>
  <c r="U166" i="4"/>
  <c r="G26" i="4"/>
  <c r="U41" i="4"/>
  <c r="I51" i="4"/>
  <c r="L58" i="4"/>
  <c r="H66" i="4"/>
  <c r="E74" i="4"/>
  <c r="U81" i="4"/>
  <c r="Q89" i="4"/>
  <c r="P95" i="4"/>
  <c r="B101" i="4"/>
  <c r="T105" i="4"/>
  <c r="R109" i="4"/>
  <c r="I113" i="4"/>
  <c r="H117" i="4"/>
  <c r="F121" i="4"/>
  <c r="Q124" i="4"/>
  <c r="P128" i="4"/>
  <c r="E131" i="4"/>
  <c r="B134" i="4"/>
  <c r="E136" i="4"/>
  <c r="U138" i="4"/>
  <c r="R141" i="4"/>
  <c r="H144" i="4"/>
  <c r="J146" i="4"/>
  <c r="H149" i="4"/>
  <c r="Q151" i="4"/>
  <c r="H154" i="4"/>
  <c r="D157" i="4"/>
  <c r="F159" i="4"/>
  <c r="Q161" i="4"/>
  <c r="M164" i="4"/>
  <c r="M9" i="4"/>
  <c r="R22" i="4"/>
  <c r="B35" i="4"/>
  <c r="J44" i="4"/>
  <c r="C50" i="4"/>
  <c r="Q55" i="4"/>
  <c r="C60" i="4"/>
  <c r="U64" i="4"/>
  <c r="P70" i="4"/>
  <c r="O75" i="4"/>
  <c r="T79" i="4"/>
  <c r="O85" i="4"/>
  <c r="J90" i="4"/>
  <c r="E94" i="4"/>
  <c r="J98" i="4"/>
  <c r="N101" i="4"/>
  <c r="H105" i="4"/>
  <c r="E108" i="4"/>
  <c r="N110" i="4"/>
  <c r="Q112" i="4"/>
  <c r="U115" i="4"/>
  <c r="J118" i="4"/>
  <c r="H121" i="4"/>
  <c r="H126" i="4"/>
  <c r="M130" i="4"/>
  <c r="L135" i="4"/>
  <c r="R140" i="4"/>
  <c r="R145" i="4"/>
  <c r="Q149" i="4"/>
  <c r="J155" i="4"/>
  <c r="J160" i="4"/>
  <c r="B165" i="4"/>
  <c r="H57" i="4"/>
  <c r="U75" i="4"/>
  <c r="C91" i="4"/>
  <c r="O96" i="4"/>
  <c r="G102" i="4"/>
  <c r="O110" i="4"/>
  <c r="O114" i="4"/>
  <c r="O118" i="4"/>
  <c r="G122" i="4"/>
  <c r="G126" i="4"/>
  <c r="S129" i="4"/>
  <c r="O133" i="4"/>
  <c r="K141" i="4"/>
  <c r="S144" i="4"/>
  <c r="S148" i="4"/>
  <c r="S152" i="4"/>
  <c r="G156" i="4"/>
  <c r="G160" i="4"/>
  <c r="C164" i="4"/>
  <c r="M13" i="4"/>
  <c r="K29" i="4"/>
  <c r="M43" i="4"/>
  <c r="S50" i="4"/>
  <c r="U57" i="4"/>
  <c r="D71" i="4"/>
  <c r="G78" i="4"/>
  <c r="U84" i="4"/>
  <c r="O89" i="4"/>
  <c r="P93" i="4"/>
  <c r="J97" i="4"/>
  <c r="E101" i="4"/>
  <c r="T104" i="4"/>
  <c r="T108" i="4"/>
  <c r="I112" i="4"/>
  <c r="I116" i="4"/>
  <c r="I120" i="4"/>
  <c r="R123" i="4"/>
  <c r="Q126" i="4"/>
  <c r="P129" i="4"/>
  <c r="I132" i="4"/>
  <c r="H135" i="4"/>
  <c r="F138" i="4"/>
  <c r="T140" i="4"/>
  <c r="R143" i="4"/>
  <c r="Q146" i="4"/>
  <c r="J149" i="4"/>
  <c r="I152" i="4"/>
  <c r="H155" i="4"/>
  <c r="U157" i="4"/>
  <c r="T160" i="4"/>
  <c r="R163" i="4"/>
  <c r="L166" i="4"/>
  <c r="M18" i="4"/>
  <c r="F28" i="4"/>
  <c r="I35" i="4"/>
  <c r="E43" i="4"/>
  <c r="D48" i="4"/>
  <c r="O51" i="4"/>
  <c r="M55" i="4"/>
  <c r="L59" i="4"/>
  <c r="C63" i="4"/>
  <c r="U66" i="4"/>
  <c r="S70" i="4"/>
  <c r="K74" i="4"/>
  <c r="H78" i="4"/>
  <c r="G82" i="4"/>
  <c r="Q85" i="4"/>
  <c r="P89" i="4"/>
  <c r="P92" i="4"/>
  <c r="I95" i="4"/>
  <c r="H98" i="4"/>
  <c r="F101" i="4"/>
  <c r="T103" i="4"/>
  <c r="F125" i="4"/>
  <c r="B133" i="4"/>
  <c r="L140" i="4"/>
  <c r="B149" i="4"/>
  <c r="L156" i="4"/>
  <c r="N163" i="4"/>
  <c r="P21" i="4"/>
  <c r="I38" i="4"/>
  <c r="T48" i="4"/>
  <c r="P56" i="4"/>
  <c r="M64" i="4"/>
  <c r="O71" i="4"/>
  <c r="L79" i="4"/>
  <c r="H87" i="4"/>
  <c r="H93" i="4"/>
  <c r="E99" i="4"/>
  <c r="P104" i="4"/>
  <c r="F108" i="4"/>
  <c r="E112" i="4"/>
  <c r="B116" i="4"/>
  <c r="N119" i="4"/>
  <c r="L123" i="4"/>
  <c r="J127" i="4"/>
  <c r="U130" i="4"/>
  <c r="T134" i="4"/>
  <c r="R138" i="4"/>
  <c r="I142" i="4"/>
  <c r="H146" i="4"/>
  <c r="E150" i="4"/>
  <c r="Q153" i="4"/>
  <c r="N157" i="4"/>
  <c r="M161" i="4"/>
  <c r="Q164" i="4"/>
  <c r="J12" i="4"/>
  <c r="J31" i="4"/>
  <c r="S44" i="4"/>
  <c r="G53" i="4"/>
  <c r="D61" i="4"/>
  <c r="E68" i="4"/>
  <c r="C76" i="4"/>
  <c r="S83" i="4"/>
  <c r="M96" i="4"/>
  <c r="J102" i="4"/>
  <c r="M106" i="4"/>
  <c r="J110" i="4"/>
  <c r="I114" i="4"/>
  <c r="T117" i="4"/>
  <c r="R121" i="4"/>
  <c r="Q125" i="4"/>
  <c r="H129" i="4"/>
  <c r="F133" i="4"/>
  <c r="D137" i="4"/>
  <c r="P140" i="4"/>
  <c r="M144" i="4"/>
  <c r="L148" i="4"/>
  <c r="B152" i="4"/>
  <c r="U155" i="4"/>
  <c r="T159" i="4"/>
  <c r="J163" i="4"/>
  <c r="H9" i="4"/>
  <c r="E29" i="4"/>
  <c r="I43" i="4"/>
  <c r="D52" i="4"/>
  <c r="T59" i="4"/>
  <c r="C67" i="4"/>
  <c r="S74" i="4"/>
  <c r="I83" i="4"/>
  <c r="I90" i="4"/>
  <c r="F96" i="4"/>
  <c r="D102" i="4"/>
  <c r="H106" i="4"/>
  <c r="E110" i="4"/>
  <c r="D114" i="4"/>
  <c r="N117" i="4"/>
  <c r="M121" i="4"/>
  <c r="L125" i="4"/>
  <c r="B129" i="4"/>
  <c r="T131" i="4"/>
  <c r="I134" i="4"/>
  <c r="R136" i="4"/>
  <c r="B140" i="4"/>
  <c r="E142" i="4"/>
  <c r="P144" i="4"/>
  <c r="L147" i="4"/>
  <c r="B150" i="4"/>
  <c r="E152" i="4"/>
  <c r="U154" i="4"/>
  <c r="L157" i="4"/>
  <c r="U159" i="4"/>
  <c r="R162" i="4"/>
  <c r="U164" i="4"/>
  <c r="J11" i="4"/>
  <c r="S27" i="4"/>
  <c r="R37" i="4"/>
  <c r="G45" i="4"/>
  <c r="L51" i="4"/>
  <c r="K56" i="4"/>
  <c r="K61" i="4"/>
  <c r="D67" i="4"/>
  <c r="I71" i="4"/>
  <c r="I76" i="4"/>
  <c r="C82" i="4"/>
  <c r="C87" i="4"/>
  <c r="U90" i="4"/>
  <c r="F95" i="4"/>
  <c r="U98" i="4"/>
  <c r="P102" i="4"/>
  <c r="I106" i="4"/>
  <c r="L108" i="4"/>
  <c r="U110" i="4"/>
  <c r="R113" i="4"/>
  <c r="P116" i="4"/>
  <c r="R118" i="4"/>
  <c r="B122" i="4"/>
  <c r="U126" i="4"/>
  <c r="U131" i="4"/>
  <c r="H137" i="4"/>
  <c r="M141" i="4"/>
  <c r="E146" i="4"/>
  <c r="T151" i="4"/>
  <c r="R156" i="4"/>
  <c r="D161" i="4"/>
  <c r="J166" i="4"/>
  <c r="C26" i="3"/>
  <c r="D27" i="3"/>
  <c r="B29" i="3"/>
  <c r="D26" i="3"/>
  <c r="B28" i="3"/>
  <c r="C29" i="3"/>
  <c r="B27" i="3"/>
  <c r="C28" i="3"/>
  <c r="D29" i="3"/>
  <c r="B26" i="3"/>
  <c r="C27" i="3"/>
  <c r="D28" i="3"/>
  <c r="C18" i="3"/>
  <c r="C19" i="3"/>
  <c r="C20" i="3"/>
  <c r="C21" i="3"/>
  <c r="C22" i="3"/>
  <c r="D18" i="3"/>
  <c r="D19" i="3"/>
  <c r="D20" i="3"/>
  <c r="D21" i="3"/>
  <c r="D22" i="3"/>
  <c r="E18" i="3"/>
  <c r="E19" i="3"/>
  <c r="E20" i="3"/>
  <c r="E21" i="3"/>
  <c r="E22" i="3"/>
  <c r="B18" i="3"/>
  <c r="B19" i="3"/>
  <c r="B20" i="3"/>
  <c r="B21" i="3"/>
  <c r="B22" i="3"/>
  <c r="K18" i="1"/>
  <c r="M20" i="1"/>
  <c r="L20" i="1"/>
  <c r="M19" i="1"/>
  <c r="L19" i="1"/>
  <c r="M18" i="1"/>
  <c r="K19" i="1"/>
  <c r="K17" i="1"/>
  <c r="K20" i="1"/>
  <c r="M17" i="1"/>
  <c r="L18" i="1"/>
  <c r="L17" i="1"/>
  <c r="G18" i="3" a="1"/>
  <c r="H19" i="3" l="1"/>
  <c r="I18" i="3"/>
  <c r="I22" i="3"/>
  <c r="J21" i="3"/>
  <c r="G20" i="3"/>
  <c r="H20" i="3"/>
  <c r="I19" i="3"/>
  <c r="J18" i="3"/>
  <c r="J22" i="3"/>
  <c r="G21" i="3"/>
  <c r="H21" i="3"/>
  <c r="I20" i="3"/>
  <c r="J19" i="3"/>
  <c r="G18" i="3"/>
  <c r="G22" i="3"/>
  <c r="H18" i="3"/>
  <c r="H22" i="3"/>
  <c r="I21" i="3"/>
  <c r="J20" i="3"/>
  <c r="G19" i="3"/>
  <c r="B21" i="5" a="1"/>
  <c r="D26" i="5" l="1"/>
  <c r="F23" i="5"/>
  <c r="B21" i="5"/>
  <c r="E25" i="5"/>
  <c r="G22" i="5"/>
  <c r="F26" i="5"/>
  <c r="B24" i="5"/>
  <c r="D21" i="5"/>
  <c r="G25" i="5"/>
  <c r="C23" i="5"/>
  <c r="F25" i="5"/>
  <c r="B23" i="5"/>
  <c r="E27" i="5"/>
  <c r="G24" i="5"/>
  <c r="C22" i="5"/>
  <c r="B26" i="5"/>
  <c r="D23" i="5"/>
  <c r="G27" i="5"/>
  <c r="C25" i="5"/>
  <c r="E22" i="5"/>
  <c r="F27" i="5"/>
  <c r="B25" i="5"/>
  <c r="D22" i="5"/>
  <c r="G26" i="5"/>
  <c r="C24" i="5"/>
  <c r="E21" i="5"/>
  <c r="D25" i="5"/>
  <c r="F22" i="5"/>
  <c r="C27" i="5"/>
  <c r="E24" i="5"/>
  <c r="G21" i="5"/>
  <c r="B27" i="5"/>
  <c r="D24" i="5"/>
  <c r="F21" i="5"/>
  <c r="C26" i="5"/>
  <c r="E23" i="5"/>
  <c r="D27" i="5"/>
  <c r="F24" i="5"/>
  <c r="B22" i="5"/>
  <c r="E26" i="5"/>
  <c r="G23" i="5"/>
  <c r="C21" i="5"/>
</calcChain>
</file>

<file path=xl/sharedStrings.xml><?xml version="1.0" encoding="utf-8"?>
<sst xmlns="http://schemas.openxmlformats.org/spreadsheetml/2006/main" count="100" uniqueCount="47">
  <si>
    <t>Addin-path</t>
  </si>
  <si>
    <t>C:\Users\Frede\Desktop\fUtility\fUtility\fUtilityExcel\bin\Debug</t>
  </si>
  <si>
    <t>name</t>
  </si>
  <si>
    <t>fUtilityExcel-Addin.XLL</t>
  </si>
  <si>
    <t>Functions</t>
  </si>
  <si>
    <t>fUtility.GetDistinctValues</t>
  </si>
  <si>
    <t>COL1</t>
  </si>
  <si>
    <t>COL3</t>
  </si>
  <si>
    <t>col2</t>
  </si>
  <si>
    <t>A</t>
  </si>
  <si>
    <t>B</t>
  </si>
  <si>
    <t>C</t>
  </si>
  <si>
    <t>D</t>
  </si>
  <si>
    <t>E</t>
  </si>
  <si>
    <t>a</t>
  </si>
  <si>
    <t>b</t>
  </si>
  <si>
    <t>c</t>
  </si>
  <si>
    <t>d</t>
  </si>
  <si>
    <t>V</t>
  </si>
  <si>
    <t>NAME</t>
  </si>
  <si>
    <t>INCOME</t>
  </si>
  <si>
    <t>DATE</t>
  </si>
  <si>
    <t>FREDERIK</t>
  </si>
  <si>
    <t>ANGELA</t>
  </si>
  <si>
    <t>FROM</t>
  </si>
  <si>
    <t>WORK</t>
  </si>
  <si>
    <t>FAMILY</t>
  </si>
  <si>
    <t>SQL</t>
  </si>
  <si>
    <t>ConnectionString</t>
  </si>
  <si>
    <t>Data Source=DESKTOP-9DAE875\SQLEXPRESS;Integrated Security=true;Initial Catalog=Northwind;</t>
  </si>
  <si>
    <t>Query</t>
  </si>
  <si>
    <t>New Table</t>
  </si>
  <si>
    <t>C:\Users\Frede\Desktop\fUtility\CSV</t>
  </si>
  <si>
    <t>SURNAME</t>
  </si>
  <si>
    <t>AMRIS</t>
  </si>
  <si>
    <t>MUNRO</t>
  </si>
  <si>
    <t>SURNAME_TABLE</t>
  </si>
  <si>
    <t>INCOME_TABLE</t>
  </si>
  <si>
    <t>MYNAME</t>
  </si>
  <si>
    <t xml:space="preserve">SELECT * </t>
  </si>
  <si>
    <t>LEFT JOIN SURNAME_TABLE t2</t>
  </si>
  <si>
    <t>FROM INCOME_TABLE t1</t>
  </si>
  <si>
    <t>SELECT * FROM INCOME_TABLE t1 WHERE t1.name = 'FREDERIK'</t>
  </si>
  <si>
    <t>ON (t1.NAME = t2.MYname)</t>
  </si>
  <si>
    <t>Angela</t>
  </si>
  <si>
    <t>Select TOP 50 * from customers</t>
  </si>
  <si>
    <t>Get Intersection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</si>
</sst>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5</xdr:row>
          <xdr:rowOff>76200</xdr:rowOff>
        </xdr:from>
        <xdr:to>
          <xdr:col>4</xdr:col>
          <xdr:colOff>438150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Register add-in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8</xdr:row>
          <xdr:rowOff>161925</xdr:rowOff>
        </xdr:from>
        <xdr:to>
          <xdr:col>4</xdr:col>
          <xdr:colOff>457200</xdr:colOff>
          <xdr:row>11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UnRegister add-in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Z37"/>
  <sheetViews>
    <sheetView tabSelected="1" workbookViewId="0">
      <selection activeCell="P7" sqref="P7"/>
    </sheetView>
  </sheetViews>
  <sheetFormatPr defaultRowHeight="15" x14ac:dyDescent="0.25"/>
  <sheetData>
    <row r="3" spans="3:26" x14ac:dyDescent="0.25">
      <c r="C3" t="s">
        <v>0</v>
      </c>
      <c r="D3" t="s">
        <v>1</v>
      </c>
    </row>
    <row r="4" spans="3:26" x14ac:dyDescent="0.25">
      <c r="C4" t="s">
        <v>2</v>
      </c>
      <c r="D4" t="s">
        <v>3</v>
      </c>
    </row>
    <row r="8" spans="3:26" x14ac:dyDescent="0.25">
      <c r="S8" t="s">
        <v>14</v>
      </c>
      <c r="T8" t="s">
        <v>14</v>
      </c>
      <c r="U8" t="s">
        <v>14</v>
      </c>
      <c r="V8" t="s">
        <v>15</v>
      </c>
      <c r="W8" t="s">
        <v>15</v>
      </c>
      <c r="X8" t="s">
        <v>16</v>
      </c>
      <c r="Y8" t="s">
        <v>16</v>
      </c>
      <c r="Z8" t="s">
        <v>17</v>
      </c>
    </row>
    <row r="9" spans="3:26" x14ac:dyDescent="0.25">
      <c r="K9" t="s">
        <v>6</v>
      </c>
      <c r="L9" t="s">
        <v>8</v>
      </c>
      <c r="M9" t="s">
        <v>7</v>
      </c>
    </row>
    <row r="10" spans="3:26" x14ac:dyDescent="0.25">
      <c r="K10">
        <v>1</v>
      </c>
      <c r="L10">
        <v>2</v>
      </c>
      <c r="M10">
        <v>3</v>
      </c>
    </row>
    <row r="11" spans="3:26" x14ac:dyDescent="0.25">
      <c r="K11">
        <v>2</v>
      </c>
      <c r="L11">
        <v>3</v>
      </c>
      <c r="M11">
        <v>4</v>
      </c>
    </row>
    <row r="12" spans="3:26" x14ac:dyDescent="0.25">
      <c r="K12">
        <v>4</v>
      </c>
      <c r="L12">
        <v>5</v>
      </c>
      <c r="M12">
        <v>6</v>
      </c>
    </row>
    <row r="13" spans="3:26" x14ac:dyDescent="0.25">
      <c r="Q13" t="s">
        <v>9</v>
      </c>
      <c r="R13" t="str">
        <f t="array" aca="1" ref="R13:R19" ca="1">_xll.fUtility.GetDistinctValue(Q13:Q22)</f>
        <v>A</v>
      </c>
    </row>
    <row r="14" spans="3:26" x14ac:dyDescent="0.25">
      <c r="Q14" t="s">
        <v>9</v>
      </c>
      <c r="R14" t="str">
        <f ca="1"/>
        <v>B</v>
      </c>
    </row>
    <row r="15" spans="3:26" x14ac:dyDescent="0.25">
      <c r="K15" t="str">
        <f ca="1">_xll.fUtility.PutDataTable("MYTABLE",K9:M12)</f>
        <v>MYTABLE</v>
      </c>
      <c r="Q15" t="s">
        <v>10</v>
      </c>
      <c r="R15" t="str">
        <f ca="1"/>
        <v>C</v>
      </c>
    </row>
    <row r="16" spans="3:26" x14ac:dyDescent="0.25">
      <c r="Q16" t="s">
        <v>10</v>
      </c>
      <c r="R16" t="str">
        <f ca="1"/>
        <v>E</v>
      </c>
    </row>
    <row r="17" spans="8:18" x14ac:dyDescent="0.25">
      <c r="K17" t="str">
        <f t="array" aca="1" ref="K17:M20" ca="1">_xll.fUtility.GetDataTable(K15)</f>
        <v>COL1</v>
      </c>
      <c r="L17" t="str">
        <f ca="1"/>
        <v>COL2</v>
      </c>
      <c r="M17" t="str">
        <f ca="1"/>
        <v>COL3</v>
      </c>
      <c r="Q17" t="s">
        <v>11</v>
      </c>
      <c r="R17" t="str">
        <f ca="1"/>
        <v>D</v>
      </c>
    </row>
    <row r="18" spans="8:18" x14ac:dyDescent="0.25">
      <c r="K18">
        <f ca="1"/>
        <v>1</v>
      </c>
      <c r="L18">
        <f ca="1"/>
        <v>2</v>
      </c>
      <c r="M18">
        <f ca="1"/>
        <v>3</v>
      </c>
      <c r="Q18" t="s">
        <v>13</v>
      </c>
      <c r="R18" t="e">
        <f ca="1"/>
        <v>#N/A</v>
      </c>
    </row>
    <row r="19" spans="8:18" x14ac:dyDescent="0.25">
      <c r="K19">
        <f ca="1"/>
        <v>2</v>
      </c>
      <c r="L19">
        <f ca="1"/>
        <v>3</v>
      </c>
      <c r="M19">
        <f ca="1"/>
        <v>4</v>
      </c>
      <c r="Q19" t="s">
        <v>13</v>
      </c>
      <c r="R19" t="e">
        <f ca="1"/>
        <v>#N/A</v>
      </c>
    </row>
    <row r="20" spans="8:18" x14ac:dyDescent="0.25">
      <c r="K20">
        <f ca="1"/>
        <v>4</v>
      </c>
      <c r="L20">
        <f ca="1"/>
        <v>5</v>
      </c>
      <c r="M20">
        <f ca="1"/>
        <v>6</v>
      </c>
      <c r="Q20" t="s">
        <v>12</v>
      </c>
    </row>
    <row r="21" spans="8:18" x14ac:dyDescent="0.25">
      <c r="Q21" t="s">
        <v>12</v>
      </c>
    </row>
    <row r="22" spans="8:18" x14ac:dyDescent="0.25">
      <c r="Q22" t="s">
        <v>12</v>
      </c>
    </row>
    <row r="24" spans="8:18" x14ac:dyDescent="0.25">
      <c r="H24" s="3" t="s">
        <v>46</v>
      </c>
    </row>
    <row r="25" spans="8:18" x14ac:dyDescent="0.25">
      <c r="H25" t="s">
        <v>9</v>
      </c>
      <c r="I25" t="s">
        <v>13</v>
      </c>
      <c r="J25" t="str">
        <f t="array" aca="1" ref="J25:J32" ca="1">_xll.fUtility.GetIntersection(H25:H40,I25:I40)</f>
        <v>E</v>
      </c>
    </row>
    <row r="26" spans="8:18" x14ac:dyDescent="0.25">
      <c r="H26" t="s">
        <v>9</v>
      </c>
      <c r="I26" t="s">
        <v>12</v>
      </c>
      <c r="J26" t="str">
        <f ca="1"/>
        <v>D</v>
      </c>
      <c r="N26" t="s">
        <v>9</v>
      </c>
      <c r="O26" t="str">
        <f t="array" aca="1" ref="O26:O35" ca="1">_xll.fUtility.RemoveEmptyEntries(N26:N37)</f>
        <v>A</v>
      </c>
    </row>
    <row r="27" spans="8:18" x14ac:dyDescent="0.25">
      <c r="H27" t="s">
        <v>9</v>
      </c>
      <c r="I27" t="s">
        <v>10</v>
      </c>
      <c r="J27" t="str">
        <f ca="1"/>
        <v>A</v>
      </c>
      <c r="N27" t="s">
        <v>10</v>
      </c>
      <c r="O27" t="str">
        <f ca="1"/>
        <v>B</v>
      </c>
    </row>
    <row r="28" spans="8:18" x14ac:dyDescent="0.25">
      <c r="H28" t="s">
        <v>18</v>
      </c>
      <c r="I28" t="s">
        <v>9</v>
      </c>
      <c r="J28" t="str">
        <f ca="1"/>
        <v>V</v>
      </c>
      <c r="O28" t="str">
        <f ca="1"/>
        <v>C</v>
      </c>
    </row>
    <row r="29" spans="8:18" x14ac:dyDescent="0.25">
      <c r="H29" t="s">
        <v>18</v>
      </c>
      <c r="I29" t="s">
        <v>18</v>
      </c>
      <c r="J29">
        <f ca="1"/>
        <v>0</v>
      </c>
      <c r="N29" t="s">
        <v>11</v>
      </c>
      <c r="O29" t="str">
        <f ca="1"/>
        <v>D</v>
      </c>
    </row>
    <row r="30" spans="8:18" x14ac:dyDescent="0.25">
      <c r="H30" t="s">
        <v>11</v>
      </c>
      <c r="J30">
        <f ca="1"/>
        <v>0</v>
      </c>
      <c r="O30" t="str">
        <f ca="1"/>
        <v>E</v>
      </c>
    </row>
    <row r="31" spans="8:18" x14ac:dyDescent="0.25">
      <c r="H31" t="s">
        <v>11</v>
      </c>
      <c r="J31">
        <f ca="1"/>
        <v>0</v>
      </c>
      <c r="O31" t="e">
        <f ca="1"/>
        <v>#N/A</v>
      </c>
    </row>
    <row r="32" spans="8:18" x14ac:dyDescent="0.25">
      <c r="H32" t="s">
        <v>11</v>
      </c>
      <c r="J32">
        <f ca="1"/>
        <v>0</v>
      </c>
      <c r="N32" t="s">
        <v>12</v>
      </c>
      <c r="O32" t="e">
        <f ca="1"/>
        <v>#N/A</v>
      </c>
    </row>
    <row r="33" spans="8:15" x14ac:dyDescent="0.25">
      <c r="H33" t="s">
        <v>12</v>
      </c>
      <c r="O33" t="e">
        <f ca="1"/>
        <v>#N/A</v>
      </c>
    </row>
    <row r="34" spans="8:15" x14ac:dyDescent="0.25">
      <c r="H34" t="s">
        <v>12</v>
      </c>
      <c r="O34" t="e">
        <f ca="1"/>
        <v>#N/A</v>
      </c>
    </row>
    <row r="35" spans="8:15" x14ac:dyDescent="0.25">
      <c r="H35" t="s">
        <v>13</v>
      </c>
      <c r="O35" t="e">
        <f ca="1"/>
        <v>#N/A</v>
      </c>
    </row>
    <row r="36" spans="8:15" x14ac:dyDescent="0.25">
      <c r="H36" t="s">
        <v>13</v>
      </c>
    </row>
    <row r="37" spans="8:15" x14ac:dyDescent="0.25">
      <c r="N37" t="s">
        <v>13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AddinFromFile">
                <anchor moveWithCells="1" sizeWithCells="1">
                  <from>
                    <xdr:col>2</xdr:col>
                    <xdr:colOff>47625</xdr:colOff>
                    <xdr:row>5</xdr:row>
                    <xdr:rowOff>76200</xdr:rowOff>
                  </from>
                  <to>
                    <xdr:col>4</xdr:col>
                    <xdr:colOff>438150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nLoadAddin">
                <anchor moveWithCells="1" sizeWithCells="1">
                  <from>
                    <xdr:col>2</xdr:col>
                    <xdr:colOff>66675</xdr:colOff>
                    <xdr:row>8</xdr:row>
                    <xdr:rowOff>161925</xdr:rowOff>
                  </from>
                  <to>
                    <xdr:col>4</xdr:col>
                    <xdr:colOff>457200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U166"/>
  <sheetViews>
    <sheetView topLeftCell="B19" workbookViewId="0">
      <selection activeCell="I6" sqref="I6"/>
    </sheetView>
  </sheetViews>
  <sheetFormatPr defaultRowHeight="15" x14ac:dyDescent="0.25"/>
  <cols>
    <col min="2" max="2" width="16.42578125" bestFit="1" customWidth="1"/>
    <col min="3" max="3" width="89" bestFit="1" customWidth="1"/>
    <col min="4" max="4" width="11.42578125" bestFit="1" customWidth="1"/>
    <col min="9" max="9" width="11" bestFit="1" customWidth="1"/>
    <col min="10" max="10" width="11.42578125" bestFit="1" customWidth="1"/>
    <col min="11" max="12" width="13.7109375" bestFit="1" customWidth="1"/>
  </cols>
  <sheetData>
    <row r="3" spans="2:21" x14ac:dyDescent="0.25">
      <c r="B3" t="s">
        <v>28</v>
      </c>
      <c r="C3" t="s">
        <v>29</v>
      </c>
    </row>
    <row r="4" spans="2:21" x14ac:dyDescent="0.25">
      <c r="B4" t="s">
        <v>27</v>
      </c>
      <c r="C4" t="s">
        <v>45</v>
      </c>
    </row>
    <row r="6" spans="2:21" x14ac:dyDescent="0.25">
      <c r="B6" t="str">
        <f ca="1">_xll.fUtility.Database.PutDataTableFromSQL("NORTHWIND1",C3,C4)</f>
        <v>NORTHWIND1</v>
      </c>
    </row>
    <row r="9" spans="2:21" x14ac:dyDescent="0.25">
      <c r="B9" t="str">
        <f t="array" aca="1" ref="B9:U166" ca="1">_xll.fUtility.GetDataTable(B6)</f>
        <v>CustomerID</v>
      </c>
      <c r="C9" t="str">
        <f ca="1"/>
        <v>CompanyName</v>
      </c>
      <c r="D9" t="str">
        <f ca="1"/>
        <v>ContactName</v>
      </c>
      <c r="E9" t="str">
        <f ca="1"/>
        <v>ContactTitle</v>
      </c>
      <c r="F9" t="str">
        <f ca="1"/>
        <v>Address</v>
      </c>
      <c r="G9" t="str">
        <f ca="1"/>
        <v>City</v>
      </c>
      <c r="H9" t="str">
        <f ca="1"/>
        <v>Region</v>
      </c>
      <c r="I9" t="str">
        <f ca="1"/>
        <v>PostalCode</v>
      </c>
      <c r="J9" t="str">
        <f ca="1"/>
        <v>Country</v>
      </c>
      <c r="K9" t="str">
        <f ca="1"/>
        <v>Phone</v>
      </c>
      <c r="L9" t="str">
        <f ca="1"/>
        <v>Fax</v>
      </c>
      <c r="M9" t="e">
        <f ca="1"/>
        <v>#N/A</v>
      </c>
      <c r="N9" t="e">
        <f ca="1"/>
        <v>#N/A</v>
      </c>
      <c r="O9" t="e">
        <f ca="1"/>
        <v>#N/A</v>
      </c>
      <c r="P9" t="e">
        <f ca="1"/>
        <v>#N/A</v>
      </c>
      <c r="Q9" t="e">
        <f ca="1"/>
        <v>#N/A</v>
      </c>
      <c r="R9" t="e">
        <f ca="1"/>
        <v>#N/A</v>
      </c>
      <c r="S9" t="e">
        <f ca="1"/>
        <v>#N/A</v>
      </c>
      <c r="T9" t="e">
        <f ca="1"/>
        <v>#N/A</v>
      </c>
      <c r="U9" t="e">
        <f ca="1"/>
        <v>#N/A</v>
      </c>
    </row>
    <row r="10" spans="2:21" x14ac:dyDescent="0.25">
      <c r="B10" t="str">
        <f ca="1"/>
        <v>ALFKI</v>
      </c>
      <c r="C10" t="str">
        <f ca="1"/>
        <v>Alfreds Futterkiste</v>
      </c>
      <c r="D10" t="str">
        <f ca="1"/>
        <v>Maria Anders</v>
      </c>
      <c r="E10" t="str">
        <f ca="1"/>
        <v>Sales Representative</v>
      </c>
      <c r="F10" t="str">
        <f ca="1"/>
        <v>Obere Str. 57</v>
      </c>
      <c r="G10" t="str">
        <f ca="1"/>
        <v>Berlin</v>
      </c>
      <c r="H10" t="str">
        <f ca="1"/>
        <v/>
      </c>
      <c r="I10" t="str">
        <f ca="1"/>
        <v>12209</v>
      </c>
      <c r="J10" t="str">
        <f ca="1"/>
        <v>Germany</v>
      </c>
      <c r="K10" t="str">
        <f ca="1"/>
        <v>030-0074321</v>
      </c>
      <c r="L10" t="str">
        <f ca="1"/>
        <v>030-0076545</v>
      </c>
      <c r="M10" t="e">
        <f ca="1"/>
        <v>#N/A</v>
      </c>
      <c r="N10" t="e">
        <f ca="1"/>
        <v>#N/A</v>
      </c>
      <c r="O10" t="e">
        <f ca="1"/>
        <v>#N/A</v>
      </c>
      <c r="P10" t="e">
        <f ca="1"/>
        <v>#N/A</v>
      </c>
      <c r="Q10" t="e">
        <f ca="1"/>
        <v>#N/A</v>
      </c>
      <c r="R10" t="e">
        <f ca="1"/>
        <v>#N/A</v>
      </c>
      <c r="S10" t="e">
        <f ca="1"/>
        <v>#N/A</v>
      </c>
      <c r="T10" t="e">
        <f ca="1"/>
        <v>#N/A</v>
      </c>
      <c r="U10" t="e">
        <f ca="1"/>
        <v>#N/A</v>
      </c>
    </row>
    <row r="11" spans="2:21" x14ac:dyDescent="0.25">
      <c r="B11" t="str">
        <f ca="1"/>
        <v>ANATR</v>
      </c>
      <c r="C11" t="str">
        <f ca="1"/>
        <v>Ana Trujillo Emparedados y helados</v>
      </c>
      <c r="D11" t="str">
        <f ca="1"/>
        <v>Ana Trujillo</v>
      </c>
      <c r="E11" t="str">
        <f ca="1"/>
        <v>Owner</v>
      </c>
      <c r="F11" t="str">
        <f ca="1"/>
        <v>Avda. de la Constitución 2222</v>
      </c>
      <c r="G11" t="str">
        <f ca="1"/>
        <v>México D.F.</v>
      </c>
      <c r="H11" t="str">
        <f ca="1"/>
        <v/>
      </c>
      <c r="I11" t="str">
        <f ca="1"/>
        <v>05021</v>
      </c>
      <c r="J11" t="str">
        <f ca="1"/>
        <v>Mexico</v>
      </c>
      <c r="K11" t="str">
        <f ca="1"/>
        <v>(5) 555-4729</v>
      </c>
      <c r="L11" t="str">
        <f ca="1"/>
        <v>(5) 555-3745</v>
      </c>
      <c r="M11" t="e">
        <f ca="1"/>
        <v>#N/A</v>
      </c>
      <c r="N11" t="e">
        <f ca="1"/>
        <v>#N/A</v>
      </c>
      <c r="O11" t="e">
        <f ca="1"/>
        <v>#N/A</v>
      </c>
      <c r="P11" t="e">
        <f ca="1"/>
        <v>#N/A</v>
      </c>
      <c r="Q11" t="e">
        <f ca="1"/>
        <v>#N/A</v>
      </c>
      <c r="R11" t="e">
        <f ca="1"/>
        <v>#N/A</v>
      </c>
      <c r="S11" t="e">
        <f ca="1"/>
        <v>#N/A</v>
      </c>
      <c r="T11" t="e">
        <f ca="1"/>
        <v>#N/A</v>
      </c>
      <c r="U11" t="e">
        <f ca="1"/>
        <v>#N/A</v>
      </c>
    </row>
    <row r="12" spans="2:21" x14ac:dyDescent="0.25">
      <c r="B12" t="str">
        <f ca="1"/>
        <v>ANTON</v>
      </c>
      <c r="C12" t="str">
        <f ca="1"/>
        <v>Antonio Moreno Taquería</v>
      </c>
      <c r="D12" t="str">
        <f ca="1"/>
        <v>Antonio Moreno</v>
      </c>
      <c r="E12" t="str">
        <f ca="1"/>
        <v>Owner</v>
      </c>
      <c r="F12" t="str">
        <f ca="1"/>
        <v>Mataderos  2312</v>
      </c>
      <c r="G12" t="str">
        <f ca="1"/>
        <v>México D.F.</v>
      </c>
      <c r="H12" t="str">
        <f ca="1"/>
        <v/>
      </c>
      <c r="I12" t="str">
        <f ca="1"/>
        <v>05023</v>
      </c>
      <c r="J12" t="str">
        <f ca="1"/>
        <v>Mexico</v>
      </c>
      <c r="K12" t="str">
        <f ca="1"/>
        <v>(5) 555-3932</v>
      </c>
      <c r="L12" t="str">
        <f ca="1"/>
        <v/>
      </c>
      <c r="M12" t="e">
        <f ca="1"/>
        <v>#N/A</v>
      </c>
      <c r="N12" t="e">
        <f ca="1"/>
        <v>#N/A</v>
      </c>
      <c r="O12" t="e">
        <f ca="1"/>
        <v>#N/A</v>
      </c>
      <c r="P12" t="e">
        <f ca="1"/>
        <v>#N/A</v>
      </c>
      <c r="Q12" t="e">
        <f ca="1"/>
        <v>#N/A</v>
      </c>
      <c r="R12" t="e">
        <f ca="1"/>
        <v>#N/A</v>
      </c>
      <c r="S12" t="e">
        <f ca="1"/>
        <v>#N/A</v>
      </c>
      <c r="T12" t="e">
        <f ca="1"/>
        <v>#N/A</v>
      </c>
      <c r="U12" t="e">
        <f ca="1"/>
        <v>#N/A</v>
      </c>
    </row>
    <row r="13" spans="2:21" x14ac:dyDescent="0.25">
      <c r="B13" t="str">
        <f ca="1"/>
        <v>AROUT</v>
      </c>
      <c r="C13" t="str">
        <f ca="1"/>
        <v>Around the Horn</v>
      </c>
      <c r="D13" t="str">
        <f ca="1"/>
        <v>Thomas Hardy</v>
      </c>
      <c r="E13" t="str">
        <f ca="1"/>
        <v>Sales Representative</v>
      </c>
      <c r="F13" t="str">
        <f ca="1"/>
        <v>120 Hanover Sq.</v>
      </c>
      <c r="G13" t="str">
        <f ca="1"/>
        <v>London</v>
      </c>
      <c r="H13" t="str">
        <f ca="1"/>
        <v/>
      </c>
      <c r="I13" t="str">
        <f ca="1"/>
        <v>WA1 1DP</v>
      </c>
      <c r="J13" t="str">
        <f ca="1"/>
        <v>UK</v>
      </c>
      <c r="K13" t="str">
        <f ca="1"/>
        <v>(171) 555-7788</v>
      </c>
      <c r="L13" t="str">
        <f ca="1"/>
        <v>(171) 555-6750</v>
      </c>
      <c r="M13" t="e">
        <f ca="1"/>
        <v>#N/A</v>
      </c>
      <c r="N13" t="e">
        <f ca="1"/>
        <v>#N/A</v>
      </c>
      <c r="O13" t="e">
        <f ca="1"/>
        <v>#N/A</v>
      </c>
      <c r="P13" t="e">
        <f ca="1"/>
        <v>#N/A</v>
      </c>
      <c r="Q13" t="e">
        <f ca="1"/>
        <v>#N/A</v>
      </c>
      <c r="R13" t="e">
        <f ca="1"/>
        <v>#N/A</v>
      </c>
      <c r="S13" t="e">
        <f ca="1"/>
        <v>#N/A</v>
      </c>
      <c r="T13" t="e">
        <f ca="1"/>
        <v>#N/A</v>
      </c>
      <c r="U13" t="e">
        <f ca="1"/>
        <v>#N/A</v>
      </c>
    </row>
    <row r="14" spans="2:21" x14ac:dyDescent="0.25">
      <c r="B14" t="str">
        <f ca="1"/>
        <v>BERGS</v>
      </c>
      <c r="C14" t="str">
        <f ca="1"/>
        <v>Berglunds snabbköp</v>
      </c>
      <c r="D14" t="str">
        <f ca="1"/>
        <v>Christina Berglund</v>
      </c>
      <c r="E14" t="str">
        <f ca="1"/>
        <v>Order Administrator</v>
      </c>
      <c r="F14" t="str">
        <f ca="1"/>
        <v>Berguvsvägen  8</v>
      </c>
      <c r="G14" t="str">
        <f ca="1"/>
        <v>Luleå</v>
      </c>
      <c r="H14" t="str">
        <f ca="1"/>
        <v/>
      </c>
      <c r="I14" t="str">
        <f ca="1"/>
        <v>S-958 22</v>
      </c>
      <c r="J14" t="str">
        <f ca="1"/>
        <v>Sweden</v>
      </c>
      <c r="K14" t="str">
        <f ca="1"/>
        <v>0921-12 34 65</v>
      </c>
      <c r="L14" t="str">
        <f ca="1"/>
        <v>0921-12 34 67</v>
      </c>
      <c r="M14" t="e">
        <f ca="1"/>
        <v>#N/A</v>
      </c>
      <c r="N14" t="e">
        <f ca="1"/>
        <v>#N/A</v>
      </c>
      <c r="O14" t="e">
        <f ca="1"/>
        <v>#N/A</v>
      </c>
      <c r="P14" t="e">
        <f ca="1"/>
        <v>#N/A</v>
      </c>
      <c r="Q14" t="e">
        <f ca="1"/>
        <v>#N/A</v>
      </c>
      <c r="R14" t="e">
        <f ca="1"/>
        <v>#N/A</v>
      </c>
      <c r="S14" t="e">
        <f ca="1"/>
        <v>#N/A</v>
      </c>
      <c r="T14" t="e">
        <f ca="1"/>
        <v>#N/A</v>
      </c>
      <c r="U14" t="e">
        <f ca="1"/>
        <v>#N/A</v>
      </c>
    </row>
    <row r="15" spans="2:21" x14ac:dyDescent="0.25">
      <c r="B15" t="str">
        <f ca="1"/>
        <v>BLAUS</v>
      </c>
      <c r="C15" t="str">
        <f ca="1"/>
        <v>Blauer See Delikatessen</v>
      </c>
      <c r="D15" t="str">
        <f ca="1"/>
        <v>Hanna Moos</v>
      </c>
      <c r="E15" t="str">
        <f ca="1"/>
        <v>Sales Representative</v>
      </c>
      <c r="F15" t="str">
        <f ca="1"/>
        <v>Forsterstr. 57</v>
      </c>
      <c r="G15" t="str">
        <f ca="1"/>
        <v>Mannheim</v>
      </c>
      <c r="H15" t="str">
        <f ca="1"/>
        <v/>
      </c>
      <c r="I15" t="str">
        <f ca="1"/>
        <v>68306</v>
      </c>
      <c r="J15" t="str">
        <f ca="1"/>
        <v>Germany</v>
      </c>
      <c r="K15" t="str">
        <f ca="1"/>
        <v>0621-08460</v>
      </c>
      <c r="L15" t="str">
        <f ca="1"/>
        <v>0621-08924</v>
      </c>
      <c r="M15" t="e">
        <f ca="1"/>
        <v>#N/A</v>
      </c>
      <c r="N15" t="e">
        <f ca="1"/>
        <v>#N/A</v>
      </c>
      <c r="O15" t="e">
        <f ca="1"/>
        <v>#N/A</v>
      </c>
      <c r="P15" t="e">
        <f ca="1"/>
        <v>#N/A</v>
      </c>
      <c r="Q15" t="e">
        <f ca="1"/>
        <v>#N/A</v>
      </c>
      <c r="R15" t="e">
        <f ca="1"/>
        <v>#N/A</v>
      </c>
      <c r="S15" t="e">
        <f ca="1"/>
        <v>#N/A</v>
      </c>
      <c r="T15" t="e">
        <f ca="1"/>
        <v>#N/A</v>
      </c>
      <c r="U15" t="e">
        <f ca="1"/>
        <v>#N/A</v>
      </c>
    </row>
    <row r="16" spans="2:21" x14ac:dyDescent="0.25">
      <c r="B16" t="str">
        <f ca="1"/>
        <v>BLONP</v>
      </c>
      <c r="C16" t="str">
        <f ca="1"/>
        <v>Blondesddsl père et fils</v>
      </c>
      <c r="D16" t="str">
        <f ca="1"/>
        <v>Frédérique Citeaux</v>
      </c>
      <c r="E16" t="str">
        <f ca="1"/>
        <v>Marketing Manager</v>
      </c>
      <c r="F16" t="str">
        <f ca="1"/>
        <v>24, place Kléber</v>
      </c>
      <c r="G16" t="str">
        <f ca="1"/>
        <v>Strasbourg</v>
      </c>
      <c r="H16" t="str">
        <f ca="1"/>
        <v/>
      </c>
      <c r="I16" t="str">
        <f ca="1"/>
        <v>67000</v>
      </c>
      <c r="J16" t="str">
        <f ca="1"/>
        <v>France</v>
      </c>
      <c r="K16" t="str">
        <f ca="1"/>
        <v>88.60.15.31</v>
      </c>
      <c r="L16" t="str">
        <f ca="1"/>
        <v>88.60.15.32</v>
      </c>
      <c r="M16" t="e">
        <f ca="1"/>
        <v>#N/A</v>
      </c>
      <c r="N16" t="e">
        <f ca="1"/>
        <v>#N/A</v>
      </c>
      <c r="O16" t="e">
        <f ca="1"/>
        <v>#N/A</v>
      </c>
      <c r="P16" t="e">
        <f ca="1"/>
        <v>#N/A</v>
      </c>
      <c r="Q16" t="e">
        <f ca="1"/>
        <v>#N/A</v>
      </c>
      <c r="R16" t="e">
        <f ca="1"/>
        <v>#N/A</v>
      </c>
      <c r="S16" t="e">
        <f ca="1"/>
        <v>#N/A</v>
      </c>
      <c r="T16" t="e">
        <f ca="1"/>
        <v>#N/A</v>
      </c>
      <c r="U16" t="e">
        <f ca="1"/>
        <v>#N/A</v>
      </c>
    </row>
    <row r="17" spans="2:21" x14ac:dyDescent="0.25">
      <c r="B17" t="str">
        <f ca="1"/>
        <v>BOLID</v>
      </c>
      <c r="C17" t="str">
        <f ca="1"/>
        <v>Bólido Comidas preparadas</v>
      </c>
      <c r="D17" t="str">
        <f ca="1"/>
        <v>Martín Sommer</v>
      </c>
      <c r="E17" t="str">
        <f ca="1"/>
        <v>Owner</v>
      </c>
      <c r="F17" t="str">
        <f ca="1"/>
        <v>C/ Araquil, 67</v>
      </c>
      <c r="G17" t="str">
        <f ca="1"/>
        <v>Madrid</v>
      </c>
      <c r="H17" t="str">
        <f ca="1"/>
        <v/>
      </c>
      <c r="I17" t="str">
        <f ca="1"/>
        <v>28023</v>
      </c>
      <c r="J17" t="str">
        <f ca="1"/>
        <v>Spain</v>
      </c>
      <c r="K17" t="str">
        <f ca="1"/>
        <v>(91) 555 22 82</v>
      </c>
      <c r="L17" t="str">
        <f ca="1"/>
        <v>(91) 555 91 99</v>
      </c>
      <c r="M17" t="e">
        <f ca="1"/>
        <v>#N/A</v>
      </c>
      <c r="N17" t="e">
        <f ca="1"/>
        <v>#N/A</v>
      </c>
      <c r="O17" t="e">
        <f ca="1"/>
        <v>#N/A</v>
      </c>
      <c r="P17" t="e">
        <f ca="1"/>
        <v>#N/A</v>
      </c>
      <c r="Q17" t="e">
        <f ca="1"/>
        <v>#N/A</v>
      </c>
      <c r="R17" t="e">
        <f ca="1"/>
        <v>#N/A</v>
      </c>
      <c r="S17" t="e">
        <f ca="1"/>
        <v>#N/A</v>
      </c>
      <c r="T17" t="e">
        <f ca="1"/>
        <v>#N/A</v>
      </c>
      <c r="U17" t="e">
        <f ca="1"/>
        <v>#N/A</v>
      </c>
    </row>
    <row r="18" spans="2:21" x14ac:dyDescent="0.25">
      <c r="B18" t="str">
        <f ca="1"/>
        <v>BONAP</v>
      </c>
      <c r="C18" t="str">
        <f ca="1"/>
        <v>Bon app'</v>
      </c>
      <c r="D18" t="str">
        <f ca="1"/>
        <v>Laurence Lebihan</v>
      </c>
      <c r="E18" t="str">
        <f ca="1"/>
        <v>Owner</v>
      </c>
      <c r="F18" t="str">
        <f ca="1"/>
        <v>12, rue des Bouchers</v>
      </c>
      <c r="G18" t="str">
        <f ca="1"/>
        <v>Marseille</v>
      </c>
      <c r="H18" t="str">
        <f ca="1"/>
        <v/>
      </c>
      <c r="I18" t="str">
        <f ca="1"/>
        <v>13008</v>
      </c>
      <c r="J18" t="str">
        <f ca="1"/>
        <v>France</v>
      </c>
      <c r="K18" t="str">
        <f ca="1"/>
        <v>91.24.45.40</v>
      </c>
      <c r="L18" t="str">
        <f ca="1"/>
        <v>91.24.45.41</v>
      </c>
      <c r="M18" t="e">
        <f ca="1"/>
        <v>#N/A</v>
      </c>
      <c r="N18" t="e">
        <f ca="1"/>
        <v>#N/A</v>
      </c>
      <c r="O18" t="e">
        <f ca="1"/>
        <v>#N/A</v>
      </c>
      <c r="P18" t="e">
        <f ca="1"/>
        <v>#N/A</v>
      </c>
      <c r="Q18" t="e">
        <f ca="1"/>
        <v>#N/A</v>
      </c>
      <c r="R18" t="e">
        <f ca="1"/>
        <v>#N/A</v>
      </c>
      <c r="S18" t="e">
        <f ca="1"/>
        <v>#N/A</v>
      </c>
      <c r="T18" t="e">
        <f ca="1"/>
        <v>#N/A</v>
      </c>
      <c r="U18" t="e">
        <f ca="1"/>
        <v>#N/A</v>
      </c>
    </row>
    <row r="19" spans="2:21" x14ac:dyDescent="0.25">
      <c r="B19" t="str">
        <f ca="1"/>
        <v>BOTTM</v>
      </c>
      <c r="C19" t="str">
        <f ca="1"/>
        <v>Bottom-Dollar Markets</v>
      </c>
      <c r="D19" t="str">
        <f ca="1"/>
        <v>Elizabeth Lincoln</v>
      </c>
      <c r="E19" t="str">
        <f ca="1"/>
        <v>Accounting Manager</v>
      </c>
      <c r="F19" t="str">
        <f ca="1"/>
        <v>23 Tsawassen Blvd.</v>
      </c>
      <c r="G19" t="str">
        <f ca="1"/>
        <v>Tsawassen</v>
      </c>
      <c r="H19" t="str">
        <f ca="1"/>
        <v>BC</v>
      </c>
      <c r="I19" t="str">
        <f ca="1"/>
        <v>T2F 8M4</v>
      </c>
      <c r="J19" t="str">
        <f ca="1"/>
        <v>Canada</v>
      </c>
      <c r="K19" t="str">
        <f ca="1"/>
        <v>(604) 555-4729</v>
      </c>
      <c r="L19" t="str">
        <f ca="1"/>
        <v>(604) 555-3745</v>
      </c>
      <c r="M19" t="e">
        <f ca="1"/>
        <v>#N/A</v>
      </c>
      <c r="N19" t="e">
        <f ca="1"/>
        <v>#N/A</v>
      </c>
      <c r="O19" t="e">
        <f ca="1"/>
        <v>#N/A</v>
      </c>
      <c r="P19" t="e">
        <f ca="1"/>
        <v>#N/A</v>
      </c>
      <c r="Q19" t="e">
        <f ca="1"/>
        <v>#N/A</v>
      </c>
      <c r="R19" t="e">
        <f ca="1"/>
        <v>#N/A</v>
      </c>
      <c r="S19" t="e">
        <f ca="1"/>
        <v>#N/A</v>
      </c>
      <c r="T19" t="e">
        <f ca="1"/>
        <v>#N/A</v>
      </c>
      <c r="U19" t="e">
        <f ca="1"/>
        <v>#N/A</v>
      </c>
    </row>
    <row r="20" spans="2:21" x14ac:dyDescent="0.25">
      <c r="B20" t="str">
        <f ca="1"/>
        <v>BSBEV</v>
      </c>
      <c r="C20" t="str">
        <f ca="1"/>
        <v>B's Beverages</v>
      </c>
      <c r="D20" t="str">
        <f ca="1"/>
        <v>Victoria Ashworth</v>
      </c>
      <c r="E20" t="str">
        <f ca="1"/>
        <v>Sales Representative</v>
      </c>
      <c r="F20" t="str">
        <f ca="1"/>
        <v>Fauntleroy Circus</v>
      </c>
      <c r="G20" t="str">
        <f ca="1"/>
        <v>London</v>
      </c>
      <c r="H20" t="str">
        <f ca="1"/>
        <v/>
      </c>
      <c r="I20" t="str">
        <f ca="1"/>
        <v>EC2 5NT</v>
      </c>
      <c r="J20" t="str">
        <f ca="1"/>
        <v>UK</v>
      </c>
      <c r="K20" t="str">
        <f ca="1"/>
        <v>(171) 555-1212</v>
      </c>
      <c r="L20" t="str">
        <f ca="1"/>
        <v/>
      </c>
      <c r="M20" t="e">
        <f ca="1"/>
        <v>#N/A</v>
      </c>
      <c r="N20" t="e">
        <f ca="1"/>
        <v>#N/A</v>
      </c>
      <c r="O20" t="e">
        <f ca="1"/>
        <v>#N/A</v>
      </c>
      <c r="P20" t="e">
        <f ca="1"/>
        <v>#N/A</v>
      </c>
      <c r="Q20" t="e">
        <f ca="1"/>
        <v>#N/A</v>
      </c>
      <c r="R20" t="e">
        <f ca="1"/>
        <v>#N/A</v>
      </c>
      <c r="S20" t="e">
        <f ca="1"/>
        <v>#N/A</v>
      </c>
      <c r="T20" t="e">
        <f ca="1"/>
        <v>#N/A</v>
      </c>
      <c r="U20" t="e">
        <f ca="1"/>
        <v>#N/A</v>
      </c>
    </row>
    <row r="21" spans="2:21" x14ac:dyDescent="0.25">
      <c r="B21" t="str">
        <f ca="1"/>
        <v>CACTU</v>
      </c>
      <c r="C21" t="str">
        <f ca="1"/>
        <v>Cactus Comidas para llevar</v>
      </c>
      <c r="D21" t="str">
        <f ca="1"/>
        <v>Patricio Simpson</v>
      </c>
      <c r="E21" t="str">
        <f ca="1"/>
        <v>Sales Agent</v>
      </c>
      <c r="F21" t="str">
        <f ca="1"/>
        <v>Cerrito 333</v>
      </c>
      <c r="G21" t="str">
        <f ca="1"/>
        <v>Buenos Aires</v>
      </c>
      <c r="H21" t="str">
        <f ca="1"/>
        <v/>
      </c>
      <c r="I21" t="str">
        <f ca="1"/>
        <v>1010</v>
      </c>
      <c r="J21" t="str">
        <f ca="1"/>
        <v>Argentina</v>
      </c>
      <c r="K21" t="str">
        <f ca="1"/>
        <v>(1) 135-5555</v>
      </c>
      <c r="L21" t="str">
        <f ca="1"/>
        <v>(1) 135-4892</v>
      </c>
      <c r="M21" t="e">
        <f ca="1"/>
        <v>#N/A</v>
      </c>
      <c r="N21" t="e">
        <f ca="1"/>
        <v>#N/A</v>
      </c>
      <c r="O21" t="e">
        <f ca="1"/>
        <v>#N/A</v>
      </c>
      <c r="P21" t="e">
        <f ca="1"/>
        <v>#N/A</v>
      </c>
      <c r="Q21" t="e">
        <f ca="1"/>
        <v>#N/A</v>
      </c>
      <c r="R21" t="e">
        <f ca="1"/>
        <v>#N/A</v>
      </c>
      <c r="S21" t="e">
        <f ca="1"/>
        <v>#N/A</v>
      </c>
      <c r="T21" t="e">
        <f ca="1"/>
        <v>#N/A</v>
      </c>
      <c r="U21" t="e">
        <f ca="1"/>
        <v>#N/A</v>
      </c>
    </row>
    <row r="22" spans="2:21" x14ac:dyDescent="0.25">
      <c r="B22" t="str">
        <f ca="1"/>
        <v>CENTC</v>
      </c>
      <c r="C22" t="str">
        <f ca="1"/>
        <v>Centro comercial Moctezuma</v>
      </c>
      <c r="D22" t="str">
        <f ca="1"/>
        <v>Francisco Chang</v>
      </c>
      <c r="E22" t="str">
        <f ca="1"/>
        <v>Marketing Manager</v>
      </c>
      <c r="F22" t="str">
        <f ca="1"/>
        <v>Sierras de Granada 9993</v>
      </c>
      <c r="G22" t="str">
        <f ca="1"/>
        <v>México D.F.</v>
      </c>
      <c r="H22" t="str">
        <f ca="1"/>
        <v/>
      </c>
      <c r="I22" t="str">
        <f ca="1"/>
        <v>05022</v>
      </c>
      <c r="J22" t="str">
        <f ca="1"/>
        <v>Mexico</v>
      </c>
      <c r="K22" t="str">
        <f ca="1"/>
        <v>(5) 555-3392</v>
      </c>
      <c r="L22" t="str">
        <f ca="1"/>
        <v>(5) 555-7293</v>
      </c>
      <c r="M22" t="e">
        <f ca="1"/>
        <v>#N/A</v>
      </c>
      <c r="N22" t="e">
        <f ca="1"/>
        <v>#N/A</v>
      </c>
      <c r="O22" t="e">
        <f ca="1"/>
        <v>#N/A</v>
      </c>
      <c r="P22" t="e">
        <f ca="1"/>
        <v>#N/A</v>
      </c>
      <c r="Q22" t="e">
        <f ca="1"/>
        <v>#N/A</v>
      </c>
      <c r="R22" t="e">
        <f ca="1"/>
        <v>#N/A</v>
      </c>
      <c r="S22" t="e">
        <f ca="1"/>
        <v>#N/A</v>
      </c>
      <c r="T22" t="e">
        <f ca="1"/>
        <v>#N/A</v>
      </c>
      <c r="U22" t="e">
        <f ca="1"/>
        <v>#N/A</v>
      </c>
    </row>
    <row r="23" spans="2:21" x14ac:dyDescent="0.25">
      <c r="B23" t="str">
        <f ca="1"/>
        <v>CHOPS</v>
      </c>
      <c r="C23" t="str">
        <f ca="1"/>
        <v>Chop-suey Chinese</v>
      </c>
      <c r="D23" t="str">
        <f ca="1"/>
        <v>Yang Wang</v>
      </c>
      <c r="E23" t="str">
        <f ca="1"/>
        <v>Owner</v>
      </c>
      <c r="F23" t="str">
        <f ca="1"/>
        <v>Hauptstr. 29</v>
      </c>
      <c r="G23" t="str">
        <f ca="1"/>
        <v>Bern</v>
      </c>
      <c r="H23" t="str">
        <f ca="1"/>
        <v/>
      </c>
      <c r="I23" t="str">
        <f ca="1"/>
        <v>3012</v>
      </c>
      <c r="J23" t="str">
        <f ca="1"/>
        <v>Switzerland</v>
      </c>
      <c r="K23" t="str">
        <f ca="1"/>
        <v>0452-076545</v>
      </c>
      <c r="L23" t="str">
        <f ca="1"/>
        <v/>
      </c>
      <c r="M23" t="e">
        <f ca="1"/>
        <v>#N/A</v>
      </c>
      <c r="N23" t="e">
        <f ca="1"/>
        <v>#N/A</v>
      </c>
      <c r="O23" t="e">
        <f ca="1"/>
        <v>#N/A</v>
      </c>
      <c r="P23" t="e">
        <f ca="1"/>
        <v>#N/A</v>
      </c>
      <c r="Q23" t="e">
        <f ca="1"/>
        <v>#N/A</v>
      </c>
      <c r="R23" t="e">
        <f ca="1"/>
        <v>#N/A</v>
      </c>
      <c r="S23" t="e">
        <f ca="1"/>
        <v>#N/A</v>
      </c>
      <c r="T23" t="e">
        <f ca="1"/>
        <v>#N/A</v>
      </c>
      <c r="U23" t="e">
        <f ca="1"/>
        <v>#N/A</v>
      </c>
    </row>
    <row r="24" spans="2:21" x14ac:dyDescent="0.25">
      <c r="B24" t="str">
        <f ca="1"/>
        <v>COMMI</v>
      </c>
      <c r="C24" t="str">
        <f ca="1"/>
        <v>Comércio Mineiro</v>
      </c>
      <c r="D24" t="str">
        <f ca="1"/>
        <v>Pedro Afonso</v>
      </c>
      <c r="E24" t="str">
        <f ca="1"/>
        <v>Sales Associate</v>
      </c>
      <c r="F24" t="str">
        <f ca="1"/>
        <v>Av. dos Lusíadas, 23</v>
      </c>
      <c r="G24" t="str">
        <f ca="1"/>
        <v>Sao Paulo</v>
      </c>
      <c r="H24" t="str">
        <f ca="1"/>
        <v>SP</v>
      </c>
      <c r="I24" t="str">
        <f ca="1"/>
        <v>05432-043</v>
      </c>
      <c r="J24" t="str">
        <f ca="1"/>
        <v>Brazil</v>
      </c>
      <c r="K24" t="str">
        <f ca="1"/>
        <v>(11) 555-7647</v>
      </c>
      <c r="L24" t="str">
        <f ca="1"/>
        <v/>
      </c>
      <c r="M24" t="e">
        <f ca="1"/>
        <v>#N/A</v>
      </c>
      <c r="N24" t="e">
        <f ca="1"/>
        <v>#N/A</v>
      </c>
      <c r="O24" t="e">
        <f ca="1"/>
        <v>#N/A</v>
      </c>
      <c r="P24" t="e">
        <f ca="1"/>
        <v>#N/A</v>
      </c>
      <c r="Q24" t="e">
        <f ca="1"/>
        <v>#N/A</v>
      </c>
      <c r="R24" t="e">
        <f ca="1"/>
        <v>#N/A</v>
      </c>
      <c r="S24" t="e">
        <f ca="1"/>
        <v>#N/A</v>
      </c>
      <c r="T24" t="e">
        <f ca="1"/>
        <v>#N/A</v>
      </c>
      <c r="U24" t="e">
        <f ca="1"/>
        <v>#N/A</v>
      </c>
    </row>
    <row r="25" spans="2:21" x14ac:dyDescent="0.25">
      <c r="B25" t="str">
        <f ca="1"/>
        <v>CONSH</v>
      </c>
      <c r="C25" t="str">
        <f ca="1"/>
        <v>Consolidated Holdings</v>
      </c>
      <c r="D25" t="str">
        <f ca="1"/>
        <v>Elizabeth Brown</v>
      </c>
      <c r="E25" t="str">
        <f ca="1"/>
        <v>Sales Representative</v>
      </c>
      <c r="F25" t="str">
        <f ca="1"/>
        <v>Berkeley Gardens 12  Brewery</v>
      </c>
      <c r="G25" t="str">
        <f ca="1"/>
        <v>London</v>
      </c>
      <c r="H25" t="str">
        <f ca="1"/>
        <v/>
      </c>
      <c r="I25" t="str">
        <f ca="1"/>
        <v>WX1 6LT</v>
      </c>
      <c r="J25" t="str">
        <f ca="1"/>
        <v>UK</v>
      </c>
      <c r="K25" t="str">
        <f ca="1"/>
        <v>(171) 555-2282</v>
      </c>
      <c r="L25" t="str">
        <f ca="1"/>
        <v>(171) 555-9199</v>
      </c>
      <c r="M25" t="e">
        <f ca="1"/>
        <v>#N/A</v>
      </c>
      <c r="N25" t="e">
        <f ca="1"/>
        <v>#N/A</v>
      </c>
      <c r="O25" t="e">
        <f ca="1"/>
        <v>#N/A</v>
      </c>
      <c r="P25" t="e">
        <f ca="1"/>
        <v>#N/A</v>
      </c>
      <c r="Q25" t="e">
        <f ca="1"/>
        <v>#N/A</v>
      </c>
      <c r="R25" t="e">
        <f ca="1"/>
        <v>#N/A</v>
      </c>
      <c r="S25" t="e">
        <f ca="1"/>
        <v>#N/A</v>
      </c>
      <c r="T25" t="e">
        <f ca="1"/>
        <v>#N/A</v>
      </c>
      <c r="U25" t="e">
        <f ca="1"/>
        <v>#N/A</v>
      </c>
    </row>
    <row r="26" spans="2:21" x14ac:dyDescent="0.25">
      <c r="B26" t="str">
        <f ca="1"/>
        <v>DRACD</v>
      </c>
      <c r="C26" t="str">
        <f ca="1"/>
        <v>Drachenblut Delikatessen</v>
      </c>
      <c r="D26" t="str">
        <f ca="1"/>
        <v>Sven Ottlieb</v>
      </c>
      <c r="E26" t="str">
        <f ca="1"/>
        <v>Order Administrator</v>
      </c>
      <c r="F26" t="str">
        <f ca="1"/>
        <v>Walserweg 21</v>
      </c>
      <c r="G26" t="str">
        <f ca="1"/>
        <v>Aachen</v>
      </c>
      <c r="H26" t="str">
        <f ca="1"/>
        <v/>
      </c>
      <c r="I26" t="str">
        <f ca="1"/>
        <v>52066</v>
      </c>
      <c r="J26" t="str">
        <f ca="1"/>
        <v>Germany</v>
      </c>
      <c r="K26" t="str">
        <f ca="1"/>
        <v>0241-039123</v>
      </c>
      <c r="L26" t="str">
        <f ca="1"/>
        <v>0241-059428</v>
      </c>
      <c r="M26" t="e">
        <f ca="1"/>
        <v>#N/A</v>
      </c>
      <c r="N26" t="e">
        <f ca="1"/>
        <v>#N/A</v>
      </c>
      <c r="O26" t="e">
        <f ca="1"/>
        <v>#N/A</v>
      </c>
      <c r="P26" t="e">
        <f ca="1"/>
        <v>#N/A</v>
      </c>
      <c r="Q26" t="e">
        <f ca="1"/>
        <v>#N/A</v>
      </c>
      <c r="R26" t="e">
        <f ca="1"/>
        <v>#N/A</v>
      </c>
      <c r="S26" t="e">
        <f ca="1"/>
        <v>#N/A</v>
      </c>
      <c r="T26" t="e">
        <f ca="1"/>
        <v>#N/A</v>
      </c>
      <c r="U26" t="e">
        <f ca="1"/>
        <v>#N/A</v>
      </c>
    </row>
    <row r="27" spans="2:21" x14ac:dyDescent="0.25">
      <c r="B27" t="str">
        <f ca="1"/>
        <v>DUMON</v>
      </c>
      <c r="C27" t="str">
        <f ca="1"/>
        <v>Du monde entier</v>
      </c>
      <c r="D27" t="str">
        <f ca="1"/>
        <v>Janine Labrune</v>
      </c>
      <c r="E27" t="str">
        <f ca="1"/>
        <v>Owner</v>
      </c>
      <c r="F27" t="str">
        <f ca="1"/>
        <v>67, rue des Cinquante Otages</v>
      </c>
      <c r="G27" t="str">
        <f ca="1"/>
        <v>Nantes</v>
      </c>
      <c r="H27" t="str">
        <f ca="1"/>
        <v/>
      </c>
      <c r="I27" t="str">
        <f ca="1"/>
        <v>44000</v>
      </c>
      <c r="J27" t="str">
        <f ca="1"/>
        <v>France</v>
      </c>
      <c r="K27" t="str">
        <f ca="1"/>
        <v>40.67.88.88</v>
      </c>
      <c r="L27" t="str">
        <f ca="1"/>
        <v>40.67.89.89</v>
      </c>
      <c r="M27" t="e">
        <f ca="1"/>
        <v>#N/A</v>
      </c>
      <c r="N27" t="e">
        <f ca="1"/>
        <v>#N/A</v>
      </c>
      <c r="O27" t="e">
        <f ca="1"/>
        <v>#N/A</v>
      </c>
      <c r="P27" t="e">
        <f ca="1"/>
        <v>#N/A</v>
      </c>
      <c r="Q27" t="e">
        <f ca="1"/>
        <v>#N/A</v>
      </c>
      <c r="R27" t="e">
        <f ca="1"/>
        <v>#N/A</v>
      </c>
      <c r="S27" t="e">
        <f ca="1"/>
        <v>#N/A</v>
      </c>
      <c r="T27" t="e">
        <f ca="1"/>
        <v>#N/A</v>
      </c>
      <c r="U27" t="e">
        <f ca="1"/>
        <v>#N/A</v>
      </c>
    </row>
    <row r="28" spans="2:21" x14ac:dyDescent="0.25">
      <c r="B28" t="str">
        <f ca="1"/>
        <v>EASTC</v>
      </c>
      <c r="C28" t="str">
        <f ca="1"/>
        <v>Eastern Connection</v>
      </c>
      <c r="D28" t="str">
        <f ca="1"/>
        <v>Ann Devon</v>
      </c>
      <c r="E28" t="str">
        <f ca="1"/>
        <v>Sales Agent</v>
      </c>
      <c r="F28" t="str">
        <f ca="1"/>
        <v>35 King George</v>
      </c>
      <c r="G28" t="str">
        <f ca="1"/>
        <v>London</v>
      </c>
      <c r="H28" t="str">
        <f ca="1"/>
        <v/>
      </c>
      <c r="I28" t="str">
        <f ca="1"/>
        <v>WX3 6FW</v>
      </c>
      <c r="J28" t="str">
        <f ca="1"/>
        <v>UK</v>
      </c>
      <c r="K28" t="str">
        <f ca="1"/>
        <v>(171) 555-0297</v>
      </c>
      <c r="L28" t="str">
        <f ca="1"/>
        <v>(171) 555-3373</v>
      </c>
      <c r="M28" t="e">
        <f ca="1"/>
        <v>#N/A</v>
      </c>
      <c r="N28" t="e">
        <f ca="1"/>
        <v>#N/A</v>
      </c>
      <c r="O28" t="e">
        <f ca="1"/>
        <v>#N/A</v>
      </c>
      <c r="P28" t="e">
        <f ca="1"/>
        <v>#N/A</v>
      </c>
      <c r="Q28" t="e">
        <f ca="1"/>
        <v>#N/A</v>
      </c>
      <c r="R28" t="e">
        <f ca="1"/>
        <v>#N/A</v>
      </c>
      <c r="S28" t="e">
        <f ca="1"/>
        <v>#N/A</v>
      </c>
      <c r="T28" t="e">
        <f ca="1"/>
        <v>#N/A</v>
      </c>
      <c r="U28" t="e">
        <f ca="1"/>
        <v>#N/A</v>
      </c>
    </row>
    <row r="29" spans="2:21" x14ac:dyDescent="0.25">
      <c r="B29" t="str">
        <f ca="1"/>
        <v>ERNSH</v>
      </c>
      <c r="C29" t="str">
        <f ca="1"/>
        <v>Ernst Handel</v>
      </c>
      <c r="D29" t="str">
        <f ca="1"/>
        <v>Roland Mendel</v>
      </c>
      <c r="E29" t="str">
        <f ca="1"/>
        <v>Sales Manager</v>
      </c>
      <c r="F29" t="str">
        <f ca="1"/>
        <v>Kirchgasse 6</v>
      </c>
      <c r="G29" t="str">
        <f ca="1"/>
        <v>Graz</v>
      </c>
      <c r="H29" t="str">
        <f ca="1"/>
        <v/>
      </c>
      <c r="I29" t="str">
        <f ca="1"/>
        <v>8010</v>
      </c>
      <c r="J29" t="str">
        <f ca="1"/>
        <v>Austria</v>
      </c>
      <c r="K29" t="str">
        <f ca="1"/>
        <v>7675-3425</v>
      </c>
      <c r="L29" t="str">
        <f ca="1"/>
        <v>7675-3426</v>
      </c>
      <c r="M29" t="e">
        <f ca="1"/>
        <v>#N/A</v>
      </c>
      <c r="N29" t="e">
        <f ca="1"/>
        <v>#N/A</v>
      </c>
      <c r="O29" t="e">
        <f ca="1"/>
        <v>#N/A</v>
      </c>
      <c r="P29" t="e">
        <f ca="1"/>
        <v>#N/A</v>
      </c>
      <c r="Q29" t="e">
        <f ca="1"/>
        <v>#N/A</v>
      </c>
      <c r="R29" t="e">
        <f ca="1"/>
        <v>#N/A</v>
      </c>
      <c r="S29" t="e">
        <f ca="1"/>
        <v>#N/A</v>
      </c>
      <c r="T29" t="e">
        <f ca="1"/>
        <v>#N/A</v>
      </c>
      <c r="U29" t="e">
        <f ca="1"/>
        <v>#N/A</v>
      </c>
    </row>
    <row r="30" spans="2:21" x14ac:dyDescent="0.25">
      <c r="B30" t="str">
        <f ca="1"/>
        <v>FAMIA</v>
      </c>
      <c r="C30" t="str">
        <f ca="1"/>
        <v>Familia Arquibaldo</v>
      </c>
      <c r="D30" t="str">
        <f ca="1"/>
        <v>Aria Cruz</v>
      </c>
      <c r="E30" t="str">
        <f ca="1"/>
        <v>Marketing Assistant</v>
      </c>
      <c r="F30" t="str">
        <f ca="1"/>
        <v>Rua Orós, 92</v>
      </c>
      <c r="G30" t="str">
        <f ca="1"/>
        <v>Sao Paulo</v>
      </c>
      <c r="H30" t="str">
        <f ca="1"/>
        <v>SP</v>
      </c>
      <c r="I30" t="str">
        <f ca="1"/>
        <v>05442-030</v>
      </c>
      <c r="J30" t="str">
        <f ca="1"/>
        <v>Brazil</v>
      </c>
      <c r="K30" t="str">
        <f ca="1"/>
        <v>(11) 555-9857</v>
      </c>
      <c r="L30" t="str">
        <f ca="1"/>
        <v/>
      </c>
      <c r="M30" t="e">
        <f ca="1"/>
        <v>#N/A</v>
      </c>
      <c r="N30" t="e">
        <f ca="1"/>
        <v>#N/A</v>
      </c>
      <c r="O30" t="e">
        <f ca="1"/>
        <v>#N/A</v>
      </c>
      <c r="P30" t="e">
        <f ca="1"/>
        <v>#N/A</v>
      </c>
      <c r="Q30" t="e">
        <f ca="1"/>
        <v>#N/A</v>
      </c>
      <c r="R30" t="e">
        <f ca="1"/>
        <v>#N/A</v>
      </c>
      <c r="S30" t="e">
        <f ca="1"/>
        <v>#N/A</v>
      </c>
      <c r="T30" t="e">
        <f ca="1"/>
        <v>#N/A</v>
      </c>
      <c r="U30" t="e">
        <f ca="1"/>
        <v>#N/A</v>
      </c>
    </row>
    <row r="31" spans="2:21" x14ac:dyDescent="0.25">
      <c r="B31" t="str">
        <f ca="1"/>
        <v>FISSA</v>
      </c>
      <c r="C31" t="str">
        <f ca="1"/>
        <v>FISSA Fabrica Inter. Salchichas S.A.</v>
      </c>
      <c r="D31" t="str">
        <f ca="1"/>
        <v>Diego Roel</v>
      </c>
      <c r="E31" t="str">
        <f ca="1"/>
        <v>Accounting Manager</v>
      </c>
      <c r="F31" t="str">
        <f ca="1"/>
        <v>C/ Moralzarzal, 86</v>
      </c>
      <c r="G31" t="str">
        <f ca="1"/>
        <v>Madrid</v>
      </c>
      <c r="H31" t="str">
        <f ca="1"/>
        <v/>
      </c>
      <c r="I31" t="str">
        <f ca="1"/>
        <v>28034</v>
      </c>
      <c r="J31" t="str">
        <f ca="1"/>
        <v>Spain</v>
      </c>
      <c r="K31" t="str">
        <f ca="1"/>
        <v>(91) 555 94 44</v>
      </c>
      <c r="L31" t="str">
        <f ca="1"/>
        <v>(91) 555 55 93</v>
      </c>
      <c r="M31" t="e">
        <f ca="1"/>
        <v>#N/A</v>
      </c>
      <c r="N31" t="e">
        <f ca="1"/>
        <v>#N/A</v>
      </c>
      <c r="O31" t="e">
        <f ca="1"/>
        <v>#N/A</v>
      </c>
      <c r="P31" t="e">
        <f ca="1"/>
        <v>#N/A</v>
      </c>
      <c r="Q31" t="e">
        <f ca="1"/>
        <v>#N/A</v>
      </c>
      <c r="R31" t="e">
        <f ca="1"/>
        <v>#N/A</v>
      </c>
      <c r="S31" t="e">
        <f ca="1"/>
        <v>#N/A</v>
      </c>
      <c r="T31" t="e">
        <f ca="1"/>
        <v>#N/A</v>
      </c>
      <c r="U31" t="e">
        <f ca="1"/>
        <v>#N/A</v>
      </c>
    </row>
    <row r="32" spans="2:21" x14ac:dyDescent="0.25">
      <c r="B32" t="str">
        <f ca="1"/>
        <v>FOLIG</v>
      </c>
      <c r="C32" t="str">
        <f ca="1"/>
        <v>Folies gourmandes</v>
      </c>
      <c r="D32" t="str">
        <f ca="1"/>
        <v>Martine Rancé</v>
      </c>
      <c r="E32" t="str">
        <f ca="1"/>
        <v>Assistant Sales Agent</v>
      </c>
      <c r="F32" t="str">
        <f ca="1"/>
        <v>184, chaussée de Tournai</v>
      </c>
      <c r="G32" t="str">
        <f ca="1"/>
        <v>Lille</v>
      </c>
      <c r="H32" t="str">
        <f ca="1"/>
        <v/>
      </c>
      <c r="I32" t="str">
        <f ca="1"/>
        <v>59000</v>
      </c>
      <c r="J32" t="str">
        <f ca="1"/>
        <v>France</v>
      </c>
      <c r="K32" t="str">
        <f ca="1"/>
        <v>20.16.10.16</v>
      </c>
      <c r="L32" t="str">
        <f ca="1"/>
        <v>20.16.10.17</v>
      </c>
      <c r="M32" t="e">
        <f ca="1"/>
        <v>#N/A</v>
      </c>
      <c r="N32" t="e">
        <f ca="1"/>
        <v>#N/A</v>
      </c>
      <c r="O32" t="e">
        <f ca="1"/>
        <v>#N/A</v>
      </c>
      <c r="P32" t="e">
        <f ca="1"/>
        <v>#N/A</v>
      </c>
      <c r="Q32" t="e">
        <f ca="1"/>
        <v>#N/A</v>
      </c>
      <c r="R32" t="e">
        <f ca="1"/>
        <v>#N/A</v>
      </c>
      <c r="S32" t="e">
        <f ca="1"/>
        <v>#N/A</v>
      </c>
      <c r="T32" t="e">
        <f ca="1"/>
        <v>#N/A</v>
      </c>
      <c r="U32" t="e">
        <f ca="1"/>
        <v>#N/A</v>
      </c>
    </row>
    <row r="33" spans="2:21" x14ac:dyDescent="0.25">
      <c r="B33" t="str">
        <f ca="1"/>
        <v>FOLKO</v>
      </c>
      <c r="C33" t="str">
        <f ca="1"/>
        <v>Folk och fä HB</v>
      </c>
      <c r="D33" t="str">
        <f ca="1"/>
        <v>Maria Larsson</v>
      </c>
      <c r="E33" t="str">
        <f ca="1"/>
        <v>Owner</v>
      </c>
      <c r="F33" t="str">
        <f ca="1"/>
        <v>Åkergatan 24</v>
      </c>
      <c r="G33" t="str">
        <f ca="1"/>
        <v>Bräcke</v>
      </c>
      <c r="H33" t="str">
        <f ca="1"/>
        <v/>
      </c>
      <c r="I33" t="str">
        <f ca="1"/>
        <v>S-844 67</v>
      </c>
      <c r="J33" t="str">
        <f ca="1"/>
        <v>Sweden</v>
      </c>
      <c r="K33" t="str">
        <f ca="1"/>
        <v>0695-34 67 21</v>
      </c>
      <c r="L33" t="str">
        <f ca="1"/>
        <v/>
      </c>
      <c r="M33" t="e">
        <f ca="1"/>
        <v>#N/A</v>
      </c>
      <c r="N33" t="e">
        <f ca="1"/>
        <v>#N/A</v>
      </c>
      <c r="O33" t="e">
        <f ca="1"/>
        <v>#N/A</v>
      </c>
      <c r="P33" t="e">
        <f ca="1"/>
        <v>#N/A</v>
      </c>
      <c r="Q33" t="e">
        <f ca="1"/>
        <v>#N/A</v>
      </c>
      <c r="R33" t="e">
        <f ca="1"/>
        <v>#N/A</v>
      </c>
      <c r="S33" t="e">
        <f ca="1"/>
        <v>#N/A</v>
      </c>
      <c r="T33" t="e">
        <f ca="1"/>
        <v>#N/A</v>
      </c>
      <c r="U33" t="e">
        <f ca="1"/>
        <v>#N/A</v>
      </c>
    </row>
    <row r="34" spans="2:21" x14ac:dyDescent="0.25">
      <c r="B34" t="str">
        <f ca="1"/>
        <v>FRANK</v>
      </c>
      <c r="C34" t="str">
        <f ca="1"/>
        <v>Frankenversand</v>
      </c>
      <c r="D34" t="str">
        <f ca="1"/>
        <v>Peter Franken</v>
      </c>
      <c r="E34" t="str">
        <f ca="1"/>
        <v>Marketing Manager</v>
      </c>
      <c r="F34" t="str">
        <f ca="1"/>
        <v>Berliner Platz 43</v>
      </c>
      <c r="G34" t="str">
        <f ca="1"/>
        <v>München</v>
      </c>
      <c r="H34" t="str">
        <f ca="1"/>
        <v/>
      </c>
      <c r="I34" t="str">
        <f ca="1"/>
        <v>80805</v>
      </c>
      <c r="J34" t="str">
        <f ca="1"/>
        <v>Germany</v>
      </c>
      <c r="K34" t="str">
        <f ca="1"/>
        <v>089-0877310</v>
      </c>
      <c r="L34" t="str">
        <f ca="1"/>
        <v>089-0877451</v>
      </c>
      <c r="M34" t="e">
        <f ca="1"/>
        <v>#N/A</v>
      </c>
      <c r="N34" t="e">
        <f ca="1"/>
        <v>#N/A</v>
      </c>
      <c r="O34" t="e">
        <f ca="1"/>
        <v>#N/A</v>
      </c>
      <c r="P34" t="e">
        <f ca="1"/>
        <v>#N/A</v>
      </c>
      <c r="Q34" t="e">
        <f ca="1"/>
        <v>#N/A</v>
      </c>
      <c r="R34" t="e">
        <f ca="1"/>
        <v>#N/A</v>
      </c>
      <c r="S34" t="e">
        <f ca="1"/>
        <v>#N/A</v>
      </c>
      <c r="T34" t="e">
        <f ca="1"/>
        <v>#N/A</v>
      </c>
      <c r="U34" t="e">
        <f ca="1"/>
        <v>#N/A</v>
      </c>
    </row>
    <row r="35" spans="2:21" x14ac:dyDescent="0.25">
      <c r="B35" t="str">
        <f ca="1"/>
        <v>FRANR</v>
      </c>
      <c r="C35" t="str">
        <f ca="1"/>
        <v>France restauration</v>
      </c>
      <c r="D35" t="str">
        <f ca="1"/>
        <v>Carine Schmitt</v>
      </c>
      <c r="E35" t="str">
        <f ca="1"/>
        <v>Marketing Manager</v>
      </c>
      <c r="F35" t="str">
        <f ca="1"/>
        <v>54, rue Royale</v>
      </c>
      <c r="G35" t="str">
        <f ca="1"/>
        <v>Nantes</v>
      </c>
      <c r="H35" t="str">
        <f ca="1"/>
        <v/>
      </c>
      <c r="I35" t="str">
        <f ca="1"/>
        <v>44000</v>
      </c>
      <c r="J35" t="str">
        <f ca="1"/>
        <v>France</v>
      </c>
      <c r="K35" t="str">
        <f ca="1"/>
        <v>40.32.21.21</v>
      </c>
      <c r="L35" t="str">
        <f ca="1"/>
        <v>40.32.21.20</v>
      </c>
      <c r="M35" t="e">
        <f ca="1"/>
        <v>#N/A</v>
      </c>
      <c r="N35" t="e">
        <f ca="1"/>
        <v>#N/A</v>
      </c>
      <c r="O35" t="e">
        <f ca="1"/>
        <v>#N/A</v>
      </c>
      <c r="P35" t="e">
        <f ca="1"/>
        <v>#N/A</v>
      </c>
      <c r="Q35" t="e">
        <f ca="1"/>
        <v>#N/A</v>
      </c>
      <c r="R35" t="e">
        <f ca="1"/>
        <v>#N/A</v>
      </c>
      <c r="S35" t="e">
        <f ca="1"/>
        <v>#N/A</v>
      </c>
      <c r="T35" t="e">
        <f ca="1"/>
        <v>#N/A</v>
      </c>
      <c r="U35" t="e">
        <f ca="1"/>
        <v>#N/A</v>
      </c>
    </row>
    <row r="36" spans="2:21" x14ac:dyDescent="0.25">
      <c r="B36" t="str">
        <f ca="1"/>
        <v>FRANS</v>
      </c>
      <c r="C36" t="str">
        <f ca="1"/>
        <v>Franchi S.p.A.</v>
      </c>
      <c r="D36" t="str">
        <f ca="1"/>
        <v>Paolo Accorti</v>
      </c>
      <c r="E36" t="str">
        <f ca="1"/>
        <v>Sales Representative</v>
      </c>
      <c r="F36" t="str">
        <f ca="1"/>
        <v>Via Monte Bianco 34</v>
      </c>
      <c r="G36" t="str">
        <f ca="1"/>
        <v>Torino</v>
      </c>
      <c r="H36" t="str">
        <f ca="1"/>
        <v/>
      </c>
      <c r="I36" t="str">
        <f ca="1"/>
        <v>10100</v>
      </c>
      <c r="J36" t="str">
        <f ca="1"/>
        <v>Italy</v>
      </c>
      <c r="K36" t="str">
        <f ca="1"/>
        <v>011-4988260</v>
      </c>
      <c r="L36" t="str">
        <f ca="1"/>
        <v>011-4988261</v>
      </c>
      <c r="M36" t="e">
        <f ca="1"/>
        <v>#N/A</v>
      </c>
      <c r="N36" t="e">
        <f ca="1"/>
        <v>#N/A</v>
      </c>
      <c r="O36" t="e">
        <f ca="1"/>
        <v>#N/A</v>
      </c>
      <c r="P36" t="e">
        <f ca="1"/>
        <v>#N/A</v>
      </c>
      <c r="Q36" t="e">
        <f ca="1"/>
        <v>#N/A</v>
      </c>
      <c r="R36" t="e">
        <f ca="1"/>
        <v>#N/A</v>
      </c>
      <c r="S36" t="e">
        <f ca="1"/>
        <v>#N/A</v>
      </c>
      <c r="T36" t="e">
        <f ca="1"/>
        <v>#N/A</v>
      </c>
      <c r="U36" t="e">
        <f ca="1"/>
        <v>#N/A</v>
      </c>
    </row>
    <row r="37" spans="2:21" x14ac:dyDescent="0.25">
      <c r="B37" t="str">
        <f ca="1"/>
        <v>FURIB</v>
      </c>
      <c r="C37" t="str">
        <f ca="1"/>
        <v>Furia Bacalhau e Frutos do Mar</v>
      </c>
      <c r="D37" t="str">
        <f ca="1"/>
        <v>Lino Rodriguez</v>
      </c>
      <c r="E37" t="str">
        <f ca="1"/>
        <v>Sales Manager</v>
      </c>
      <c r="F37" t="str">
        <f ca="1"/>
        <v>Jardim das rosas n. 32</v>
      </c>
      <c r="G37" t="str">
        <f ca="1"/>
        <v>Lisboa</v>
      </c>
      <c r="H37" t="str">
        <f ca="1"/>
        <v/>
      </c>
      <c r="I37" t="str">
        <f ca="1"/>
        <v>1675</v>
      </c>
      <c r="J37" t="str">
        <f ca="1"/>
        <v>Portugal</v>
      </c>
      <c r="K37" t="str">
        <f ca="1"/>
        <v>(1) 354-2534</v>
      </c>
      <c r="L37" t="str">
        <f ca="1"/>
        <v>(1) 354-2535</v>
      </c>
      <c r="M37" t="e">
        <f ca="1"/>
        <v>#N/A</v>
      </c>
      <c r="N37" t="e">
        <f ca="1"/>
        <v>#N/A</v>
      </c>
      <c r="O37" t="e">
        <f ca="1"/>
        <v>#N/A</v>
      </c>
      <c r="P37" t="e">
        <f ca="1"/>
        <v>#N/A</v>
      </c>
      <c r="Q37" t="e">
        <f ca="1"/>
        <v>#N/A</v>
      </c>
      <c r="R37" t="e">
        <f ca="1"/>
        <v>#N/A</v>
      </c>
      <c r="S37" t="e">
        <f ca="1"/>
        <v>#N/A</v>
      </c>
      <c r="T37" t="e">
        <f ca="1"/>
        <v>#N/A</v>
      </c>
      <c r="U37" t="e">
        <f ca="1"/>
        <v>#N/A</v>
      </c>
    </row>
    <row r="38" spans="2:21" x14ac:dyDescent="0.25">
      <c r="B38" t="str">
        <f ca="1"/>
        <v>GALED</v>
      </c>
      <c r="C38" t="str">
        <f ca="1"/>
        <v>Galería del gastrónomo</v>
      </c>
      <c r="D38" t="str">
        <f ca="1"/>
        <v>Eduardo Saavedra</v>
      </c>
      <c r="E38" t="str">
        <f ca="1"/>
        <v>Marketing Manager</v>
      </c>
      <c r="F38" t="str">
        <f ca="1"/>
        <v>Rambla de Cataluña, 23</v>
      </c>
      <c r="G38" t="str">
        <f ca="1"/>
        <v>Barcelona</v>
      </c>
      <c r="H38" t="str">
        <f ca="1"/>
        <v/>
      </c>
      <c r="I38" t="str">
        <f ca="1"/>
        <v>08022</v>
      </c>
      <c r="J38" t="str">
        <f ca="1"/>
        <v>Spain</v>
      </c>
      <c r="K38" t="str">
        <f ca="1"/>
        <v>(93) 203 4560</v>
      </c>
      <c r="L38" t="str">
        <f ca="1"/>
        <v>(93) 203 4561</v>
      </c>
      <c r="M38" t="e">
        <f ca="1"/>
        <v>#N/A</v>
      </c>
      <c r="N38" t="e">
        <f ca="1"/>
        <v>#N/A</v>
      </c>
      <c r="O38" t="e">
        <f ca="1"/>
        <v>#N/A</v>
      </c>
      <c r="P38" t="e">
        <f ca="1"/>
        <v>#N/A</v>
      </c>
      <c r="Q38" t="e">
        <f ca="1"/>
        <v>#N/A</v>
      </c>
      <c r="R38" t="e">
        <f ca="1"/>
        <v>#N/A</v>
      </c>
      <c r="S38" t="e">
        <f ca="1"/>
        <v>#N/A</v>
      </c>
      <c r="T38" t="e">
        <f ca="1"/>
        <v>#N/A</v>
      </c>
      <c r="U38" t="e">
        <f ca="1"/>
        <v>#N/A</v>
      </c>
    </row>
    <row r="39" spans="2:21" x14ac:dyDescent="0.25">
      <c r="B39" t="str">
        <f ca="1"/>
        <v>GODOS</v>
      </c>
      <c r="C39" t="str">
        <f ca="1"/>
        <v>Godos Cocina Típica</v>
      </c>
      <c r="D39" t="str">
        <f ca="1"/>
        <v>José Pedro Freyre</v>
      </c>
      <c r="E39" t="str">
        <f ca="1"/>
        <v>Sales Manager</v>
      </c>
      <c r="F39" t="str">
        <f ca="1"/>
        <v>C/ Romero, 33</v>
      </c>
      <c r="G39" t="str">
        <f ca="1"/>
        <v>Sevilla</v>
      </c>
      <c r="H39" t="str">
        <f ca="1"/>
        <v/>
      </c>
      <c r="I39" t="str">
        <f ca="1"/>
        <v>41101</v>
      </c>
      <c r="J39" t="str">
        <f ca="1"/>
        <v>Spain</v>
      </c>
      <c r="K39" t="str">
        <f ca="1"/>
        <v>(95) 555 82 82</v>
      </c>
      <c r="L39" t="str">
        <f ca="1"/>
        <v/>
      </c>
      <c r="M39" t="e">
        <f ca="1"/>
        <v>#N/A</v>
      </c>
      <c r="N39" t="e">
        <f ca="1"/>
        <v>#N/A</v>
      </c>
      <c r="O39" t="e">
        <f ca="1"/>
        <v>#N/A</v>
      </c>
      <c r="P39" t="e">
        <f ca="1"/>
        <v>#N/A</v>
      </c>
      <c r="Q39" t="e">
        <f ca="1"/>
        <v>#N/A</v>
      </c>
      <c r="R39" t="e">
        <f ca="1"/>
        <v>#N/A</v>
      </c>
      <c r="S39" t="e">
        <f ca="1"/>
        <v>#N/A</v>
      </c>
      <c r="T39" t="e">
        <f ca="1"/>
        <v>#N/A</v>
      </c>
      <c r="U39" t="e">
        <f ca="1"/>
        <v>#N/A</v>
      </c>
    </row>
    <row r="40" spans="2:21" x14ac:dyDescent="0.25">
      <c r="B40" t="str">
        <f ca="1"/>
        <v>GOURL</v>
      </c>
      <c r="C40" t="str">
        <f ca="1"/>
        <v>Gourmet Lanchonetes</v>
      </c>
      <c r="D40" t="str">
        <f ca="1"/>
        <v>André Fonseca</v>
      </c>
      <c r="E40" t="str">
        <f ca="1"/>
        <v>Sales Associate</v>
      </c>
      <c r="F40" t="str">
        <f ca="1"/>
        <v>Av. Brasil, 442</v>
      </c>
      <c r="G40" t="str">
        <f ca="1"/>
        <v>Campinas</v>
      </c>
      <c r="H40" t="str">
        <f ca="1"/>
        <v>SP</v>
      </c>
      <c r="I40" t="str">
        <f ca="1"/>
        <v>04876-786</v>
      </c>
      <c r="J40" t="str">
        <f ca="1"/>
        <v>Brazil</v>
      </c>
      <c r="K40" t="str">
        <f ca="1"/>
        <v>(11) 555-9482</v>
      </c>
      <c r="L40" t="str">
        <f ca="1"/>
        <v/>
      </c>
      <c r="M40" t="e">
        <f ca="1"/>
        <v>#N/A</v>
      </c>
      <c r="N40" t="e">
        <f ca="1"/>
        <v>#N/A</v>
      </c>
      <c r="O40" t="e">
        <f ca="1"/>
        <v>#N/A</v>
      </c>
      <c r="P40" t="e">
        <f ca="1"/>
        <v>#N/A</v>
      </c>
      <c r="Q40" t="e">
        <f ca="1"/>
        <v>#N/A</v>
      </c>
      <c r="R40" t="e">
        <f ca="1"/>
        <v>#N/A</v>
      </c>
      <c r="S40" t="e">
        <f ca="1"/>
        <v>#N/A</v>
      </c>
      <c r="T40" t="e">
        <f ca="1"/>
        <v>#N/A</v>
      </c>
      <c r="U40" t="e">
        <f ca="1"/>
        <v>#N/A</v>
      </c>
    </row>
    <row r="41" spans="2:21" x14ac:dyDescent="0.25">
      <c r="B41" t="str">
        <f ca="1"/>
        <v>GREAL</v>
      </c>
      <c r="C41" t="str">
        <f ca="1"/>
        <v>Great Lakes Food Market</v>
      </c>
      <c r="D41" t="str">
        <f ca="1"/>
        <v>Howard Snyder</v>
      </c>
      <c r="E41" t="str">
        <f ca="1"/>
        <v>Marketing Manager</v>
      </c>
      <c r="F41" t="str">
        <f ca="1"/>
        <v>2732 Baker Blvd.</v>
      </c>
      <c r="G41" t="str">
        <f ca="1"/>
        <v>Eugene</v>
      </c>
      <c r="H41" t="str">
        <f ca="1"/>
        <v>OR</v>
      </c>
      <c r="I41" t="str">
        <f ca="1"/>
        <v>97403</v>
      </c>
      <c r="J41" t="str">
        <f ca="1"/>
        <v>USA</v>
      </c>
      <c r="K41" t="str">
        <f ca="1"/>
        <v>(503) 555-7555</v>
      </c>
      <c r="L41" t="str">
        <f ca="1"/>
        <v/>
      </c>
      <c r="M41" t="e">
        <f ca="1"/>
        <v>#N/A</v>
      </c>
      <c r="N41" t="e">
        <f ca="1"/>
        <v>#N/A</v>
      </c>
      <c r="O41" t="e">
        <f ca="1"/>
        <v>#N/A</v>
      </c>
      <c r="P41" t="e">
        <f ca="1"/>
        <v>#N/A</v>
      </c>
      <c r="Q41" t="e">
        <f ca="1"/>
        <v>#N/A</v>
      </c>
      <c r="R41" t="e">
        <f ca="1"/>
        <v>#N/A</v>
      </c>
      <c r="S41" t="e">
        <f ca="1"/>
        <v>#N/A</v>
      </c>
      <c r="T41" t="e">
        <f ca="1"/>
        <v>#N/A</v>
      </c>
      <c r="U41" t="e">
        <f ca="1"/>
        <v>#N/A</v>
      </c>
    </row>
    <row r="42" spans="2:21" x14ac:dyDescent="0.25">
      <c r="B42" t="str">
        <f ca="1"/>
        <v>GROSR</v>
      </c>
      <c r="C42" t="str">
        <f ca="1"/>
        <v>GROSELLA-Restaurante</v>
      </c>
      <c r="D42" t="str">
        <f ca="1"/>
        <v>Manuel Pereira</v>
      </c>
      <c r="E42" t="str">
        <f ca="1"/>
        <v>Owner</v>
      </c>
      <c r="F42" t="str">
        <f ca="1"/>
        <v>5ª Ave. Los Palos Grandes</v>
      </c>
      <c r="G42" t="str">
        <f ca="1"/>
        <v>Caracas</v>
      </c>
      <c r="H42" t="str">
        <f ca="1"/>
        <v>DF</v>
      </c>
      <c r="I42" t="str">
        <f ca="1"/>
        <v>1081</v>
      </c>
      <c r="J42" t="str">
        <f ca="1"/>
        <v>Venezuela</v>
      </c>
      <c r="K42" t="str">
        <f ca="1"/>
        <v>(2) 283-2951</v>
      </c>
      <c r="L42" t="str">
        <f ca="1"/>
        <v>(2) 283-3397</v>
      </c>
      <c r="M42" t="e">
        <f ca="1"/>
        <v>#N/A</v>
      </c>
      <c r="N42" t="e">
        <f ca="1"/>
        <v>#N/A</v>
      </c>
      <c r="O42" t="e">
        <f ca="1"/>
        <v>#N/A</v>
      </c>
      <c r="P42" t="e">
        <f ca="1"/>
        <v>#N/A</v>
      </c>
      <c r="Q42" t="e">
        <f ca="1"/>
        <v>#N/A</v>
      </c>
      <c r="R42" t="e">
        <f ca="1"/>
        <v>#N/A</v>
      </c>
      <c r="S42" t="e">
        <f ca="1"/>
        <v>#N/A</v>
      </c>
      <c r="T42" t="e">
        <f ca="1"/>
        <v>#N/A</v>
      </c>
      <c r="U42" t="e">
        <f ca="1"/>
        <v>#N/A</v>
      </c>
    </row>
    <row r="43" spans="2:21" x14ac:dyDescent="0.25">
      <c r="B43" t="str">
        <f ca="1"/>
        <v>HANAR</v>
      </c>
      <c r="C43" t="str">
        <f ca="1"/>
        <v>Hanari Carnes</v>
      </c>
      <c r="D43" t="str">
        <f ca="1"/>
        <v>Mario Pontes</v>
      </c>
      <c r="E43" t="str">
        <f ca="1"/>
        <v>Accounting Manager</v>
      </c>
      <c r="F43" t="str">
        <f ca="1"/>
        <v>Rua do Paço, 67</v>
      </c>
      <c r="G43" t="str">
        <f ca="1"/>
        <v>Rio de Janeiro</v>
      </c>
      <c r="H43" t="str">
        <f ca="1"/>
        <v>RJ</v>
      </c>
      <c r="I43" t="str">
        <f ca="1"/>
        <v>05454-876</v>
      </c>
      <c r="J43" t="str">
        <f ca="1"/>
        <v>Brazil</v>
      </c>
      <c r="K43" t="str">
        <f ca="1"/>
        <v>(21) 555-0091</v>
      </c>
      <c r="L43" t="str">
        <f ca="1"/>
        <v>(21) 555-8765</v>
      </c>
      <c r="M43" t="e">
        <f ca="1"/>
        <v>#N/A</v>
      </c>
      <c r="N43" t="e">
        <f ca="1"/>
        <v>#N/A</v>
      </c>
      <c r="O43" t="e">
        <f ca="1"/>
        <v>#N/A</v>
      </c>
      <c r="P43" t="e">
        <f ca="1"/>
        <v>#N/A</v>
      </c>
      <c r="Q43" t="e">
        <f ca="1"/>
        <v>#N/A</v>
      </c>
      <c r="R43" t="e">
        <f ca="1"/>
        <v>#N/A</v>
      </c>
      <c r="S43" t="e">
        <f ca="1"/>
        <v>#N/A</v>
      </c>
      <c r="T43" t="e">
        <f ca="1"/>
        <v>#N/A</v>
      </c>
      <c r="U43" t="e">
        <f ca="1"/>
        <v>#N/A</v>
      </c>
    </row>
    <row r="44" spans="2:21" x14ac:dyDescent="0.25">
      <c r="B44" t="str">
        <f ca="1"/>
        <v>HILAA</v>
      </c>
      <c r="C44" t="str">
        <f ca="1"/>
        <v>HILARION-Abastos</v>
      </c>
      <c r="D44" t="str">
        <f ca="1"/>
        <v>Carlos Hernández</v>
      </c>
      <c r="E44" t="str">
        <f ca="1"/>
        <v>Sales Representative</v>
      </c>
      <c r="F44" t="str">
        <f ca="1"/>
        <v>Carrera 22 con Ave. Carlos Soublette #8-35</v>
      </c>
      <c r="G44" t="str">
        <f ca="1"/>
        <v>San Cristóbal</v>
      </c>
      <c r="H44" t="str">
        <f ca="1"/>
        <v>Táchira</v>
      </c>
      <c r="I44" t="str">
        <f ca="1"/>
        <v>5022</v>
      </c>
      <c r="J44" t="str">
        <f ca="1"/>
        <v>Venezuela</v>
      </c>
      <c r="K44" t="str">
        <f ca="1"/>
        <v>(5) 555-1340</v>
      </c>
      <c r="L44" t="str">
        <f ca="1"/>
        <v>(5) 555-1948</v>
      </c>
      <c r="M44" t="e">
        <f ca="1"/>
        <v>#N/A</v>
      </c>
      <c r="N44" t="e">
        <f ca="1"/>
        <v>#N/A</v>
      </c>
      <c r="O44" t="e">
        <f ca="1"/>
        <v>#N/A</v>
      </c>
      <c r="P44" t="e">
        <f ca="1"/>
        <v>#N/A</v>
      </c>
      <c r="Q44" t="e">
        <f ca="1"/>
        <v>#N/A</v>
      </c>
      <c r="R44" t="e">
        <f ca="1"/>
        <v>#N/A</v>
      </c>
      <c r="S44" t="e">
        <f ca="1"/>
        <v>#N/A</v>
      </c>
      <c r="T44" t="e">
        <f ca="1"/>
        <v>#N/A</v>
      </c>
      <c r="U44" t="e">
        <f ca="1"/>
        <v>#N/A</v>
      </c>
    </row>
    <row r="45" spans="2:21" x14ac:dyDescent="0.25">
      <c r="B45" t="str">
        <f ca="1"/>
        <v>HUNGC</v>
      </c>
      <c r="C45" t="str">
        <f ca="1"/>
        <v>Hungry Coyote Import Store</v>
      </c>
      <c r="D45" t="str">
        <f ca="1"/>
        <v>Yoshi Latimer</v>
      </c>
      <c r="E45" t="str">
        <f ca="1"/>
        <v>Sales Representative</v>
      </c>
      <c r="F45" t="str">
        <f ca="1"/>
        <v>City Center Plaza 516 Main St.</v>
      </c>
      <c r="G45" t="str">
        <f ca="1"/>
        <v>Elgin</v>
      </c>
      <c r="H45" t="str">
        <f ca="1"/>
        <v>OR</v>
      </c>
      <c r="I45" t="str">
        <f ca="1"/>
        <v>97827</v>
      </c>
      <c r="J45" t="str">
        <f ca="1"/>
        <v>USA</v>
      </c>
      <c r="K45" t="str">
        <f ca="1"/>
        <v>(503) 555-6874</v>
      </c>
      <c r="L45" t="str">
        <f ca="1"/>
        <v>(503) 555-2376</v>
      </c>
      <c r="M45" t="e">
        <f ca="1"/>
        <v>#N/A</v>
      </c>
      <c r="N45" t="e">
        <f ca="1"/>
        <v>#N/A</v>
      </c>
      <c r="O45" t="e">
        <f ca="1"/>
        <v>#N/A</v>
      </c>
      <c r="P45" t="e">
        <f ca="1"/>
        <v>#N/A</v>
      </c>
      <c r="Q45" t="e">
        <f ca="1"/>
        <v>#N/A</v>
      </c>
      <c r="R45" t="e">
        <f ca="1"/>
        <v>#N/A</v>
      </c>
      <c r="S45" t="e">
        <f ca="1"/>
        <v>#N/A</v>
      </c>
      <c r="T45" t="e">
        <f ca="1"/>
        <v>#N/A</v>
      </c>
      <c r="U45" t="e">
        <f ca="1"/>
        <v>#N/A</v>
      </c>
    </row>
    <row r="46" spans="2:21" x14ac:dyDescent="0.25">
      <c r="B46" t="str">
        <f ca="1"/>
        <v>HUNGO</v>
      </c>
      <c r="C46" t="str">
        <f ca="1"/>
        <v>Hungry Owl All-Night Grocers</v>
      </c>
      <c r="D46" t="str">
        <f ca="1"/>
        <v>Patricia McKenna</v>
      </c>
      <c r="E46" t="str">
        <f ca="1"/>
        <v>Sales Associate</v>
      </c>
      <c r="F46" t="str">
        <f ca="1"/>
        <v>8 Johnstown Road</v>
      </c>
      <c r="G46" t="str">
        <f ca="1"/>
        <v>Cork</v>
      </c>
      <c r="H46" t="str">
        <f ca="1"/>
        <v>Co. Cork</v>
      </c>
      <c r="I46" t="str">
        <f ca="1"/>
        <v/>
      </c>
      <c r="J46" t="str">
        <f ca="1"/>
        <v>Ireland</v>
      </c>
      <c r="K46" t="str">
        <f ca="1"/>
        <v>2967 542</v>
      </c>
      <c r="L46" t="str">
        <f ca="1"/>
        <v>2967 3333</v>
      </c>
      <c r="M46" t="e">
        <f ca="1"/>
        <v>#N/A</v>
      </c>
      <c r="N46" t="e">
        <f ca="1"/>
        <v>#N/A</v>
      </c>
      <c r="O46" t="e">
        <f ca="1"/>
        <v>#N/A</v>
      </c>
      <c r="P46" t="e">
        <f ca="1"/>
        <v>#N/A</v>
      </c>
      <c r="Q46" t="e">
        <f ca="1"/>
        <v>#N/A</v>
      </c>
      <c r="R46" t="e">
        <f ca="1"/>
        <v>#N/A</v>
      </c>
      <c r="S46" t="e">
        <f ca="1"/>
        <v>#N/A</v>
      </c>
      <c r="T46" t="e">
        <f ca="1"/>
        <v>#N/A</v>
      </c>
      <c r="U46" t="e">
        <f ca="1"/>
        <v>#N/A</v>
      </c>
    </row>
    <row r="47" spans="2:21" x14ac:dyDescent="0.25">
      <c r="B47" t="str">
        <f ca="1"/>
        <v>ISLAT</v>
      </c>
      <c r="C47" t="str">
        <f ca="1"/>
        <v>Island Trading</v>
      </c>
      <c r="D47" t="str">
        <f ca="1"/>
        <v>Helen Bennett</v>
      </c>
      <c r="E47" t="str">
        <f ca="1"/>
        <v>Marketing Manager</v>
      </c>
      <c r="F47" t="str">
        <f ca="1"/>
        <v>Garden House Crowther Way</v>
      </c>
      <c r="G47" t="str">
        <f ca="1"/>
        <v>Cowes</v>
      </c>
      <c r="H47" t="str">
        <f ca="1"/>
        <v>Isle of Wight</v>
      </c>
      <c r="I47" t="str">
        <f ca="1"/>
        <v>PO31 7PJ</v>
      </c>
      <c r="J47" t="str">
        <f ca="1"/>
        <v>UK</v>
      </c>
      <c r="K47" t="str">
        <f ca="1"/>
        <v>(198) 555-8888</v>
      </c>
      <c r="L47" t="str">
        <f ca="1"/>
        <v/>
      </c>
      <c r="M47" t="e">
        <f ca="1"/>
        <v>#N/A</v>
      </c>
      <c r="N47" t="e">
        <f ca="1"/>
        <v>#N/A</v>
      </c>
      <c r="O47" t="e">
        <f ca="1"/>
        <v>#N/A</v>
      </c>
      <c r="P47" t="e">
        <f ca="1"/>
        <v>#N/A</v>
      </c>
      <c r="Q47" t="e">
        <f ca="1"/>
        <v>#N/A</v>
      </c>
      <c r="R47" t="e">
        <f ca="1"/>
        <v>#N/A</v>
      </c>
      <c r="S47" t="e">
        <f ca="1"/>
        <v>#N/A</v>
      </c>
      <c r="T47" t="e">
        <f ca="1"/>
        <v>#N/A</v>
      </c>
      <c r="U47" t="e">
        <f ca="1"/>
        <v>#N/A</v>
      </c>
    </row>
    <row r="48" spans="2:21" x14ac:dyDescent="0.25">
      <c r="B48" t="str">
        <f ca="1"/>
        <v>KOENE</v>
      </c>
      <c r="C48" t="str">
        <f ca="1"/>
        <v>Königlich Essen</v>
      </c>
      <c r="D48" t="str">
        <f ca="1"/>
        <v>Philip Cramer</v>
      </c>
      <c r="E48" t="str">
        <f ca="1"/>
        <v>Sales Associate</v>
      </c>
      <c r="F48" t="str">
        <f ca="1"/>
        <v>Maubelstr. 90</v>
      </c>
      <c r="G48" t="str">
        <f ca="1"/>
        <v>Brandenburg</v>
      </c>
      <c r="H48" t="str">
        <f ca="1"/>
        <v/>
      </c>
      <c r="I48" t="str">
        <f ca="1"/>
        <v>14776</v>
      </c>
      <c r="J48" t="str">
        <f ca="1"/>
        <v>Germany</v>
      </c>
      <c r="K48" t="str">
        <f ca="1"/>
        <v>0555-09876</v>
      </c>
      <c r="L48" t="str">
        <f ca="1"/>
        <v/>
      </c>
      <c r="M48" t="e">
        <f ca="1"/>
        <v>#N/A</v>
      </c>
      <c r="N48" t="e">
        <f ca="1"/>
        <v>#N/A</v>
      </c>
      <c r="O48" t="e">
        <f ca="1"/>
        <v>#N/A</v>
      </c>
      <c r="P48" t="e">
        <f ca="1"/>
        <v>#N/A</v>
      </c>
      <c r="Q48" t="e">
        <f ca="1"/>
        <v>#N/A</v>
      </c>
      <c r="R48" t="e">
        <f ca="1"/>
        <v>#N/A</v>
      </c>
      <c r="S48" t="e">
        <f ca="1"/>
        <v>#N/A</v>
      </c>
      <c r="T48" t="e">
        <f ca="1"/>
        <v>#N/A</v>
      </c>
      <c r="U48" t="e">
        <f ca="1"/>
        <v>#N/A</v>
      </c>
    </row>
    <row r="49" spans="2:21" x14ac:dyDescent="0.25">
      <c r="B49" t="str">
        <f ca="1"/>
        <v>LACOR</v>
      </c>
      <c r="C49" t="str">
        <f ca="1"/>
        <v>La corne d'abondance</v>
      </c>
      <c r="D49" t="str">
        <f ca="1"/>
        <v>Daniel Tonini</v>
      </c>
      <c r="E49" t="str">
        <f ca="1"/>
        <v>Sales Representative</v>
      </c>
      <c r="F49" t="str">
        <f ca="1"/>
        <v>67, avenue de l'Europe</v>
      </c>
      <c r="G49" t="str">
        <f ca="1"/>
        <v>Versailles</v>
      </c>
      <c r="H49" t="str">
        <f ca="1"/>
        <v/>
      </c>
      <c r="I49" t="str">
        <f ca="1"/>
        <v>78000</v>
      </c>
      <c r="J49" t="str">
        <f ca="1"/>
        <v>France</v>
      </c>
      <c r="K49" t="str">
        <f ca="1"/>
        <v>30.59.84.10</v>
      </c>
      <c r="L49" t="str">
        <f ca="1"/>
        <v>30.59.85.11</v>
      </c>
      <c r="M49" t="e">
        <f ca="1"/>
        <v>#N/A</v>
      </c>
      <c r="N49" t="e">
        <f ca="1"/>
        <v>#N/A</v>
      </c>
      <c r="O49" t="e">
        <f ca="1"/>
        <v>#N/A</v>
      </c>
      <c r="P49" t="e">
        <f ca="1"/>
        <v>#N/A</v>
      </c>
      <c r="Q49" t="e">
        <f ca="1"/>
        <v>#N/A</v>
      </c>
      <c r="R49" t="e">
        <f ca="1"/>
        <v>#N/A</v>
      </c>
      <c r="S49" t="e">
        <f ca="1"/>
        <v>#N/A</v>
      </c>
      <c r="T49" t="e">
        <f ca="1"/>
        <v>#N/A</v>
      </c>
      <c r="U49" t="e">
        <f ca="1"/>
        <v>#N/A</v>
      </c>
    </row>
    <row r="50" spans="2:21" x14ac:dyDescent="0.25">
      <c r="B50" t="str">
        <f ca="1"/>
        <v>LAMAI</v>
      </c>
      <c r="C50" t="str">
        <f ca="1"/>
        <v>La maison d'Asie</v>
      </c>
      <c r="D50" t="str">
        <f ca="1"/>
        <v>Annette Roulet</v>
      </c>
      <c r="E50" t="str">
        <f ca="1"/>
        <v>Sales Manager</v>
      </c>
      <c r="F50" t="str">
        <f ca="1"/>
        <v>1 rue Alsace-Lorraine</v>
      </c>
      <c r="G50" t="str">
        <f ca="1"/>
        <v>Toulouse</v>
      </c>
      <c r="H50" t="str">
        <f ca="1"/>
        <v/>
      </c>
      <c r="I50" t="str">
        <f ca="1"/>
        <v>31000</v>
      </c>
      <c r="J50" t="str">
        <f ca="1"/>
        <v>France</v>
      </c>
      <c r="K50" t="str">
        <f ca="1"/>
        <v>61.77.61.10</v>
      </c>
      <c r="L50" t="str">
        <f ca="1"/>
        <v>61.77.61.11</v>
      </c>
      <c r="M50" t="e">
        <f ca="1"/>
        <v>#N/A</v>
      </c>
      <c r="N50" t="e">
        <f ca="1"/>
        <v>#N/A</v>
      </c>
      <c r="O50" t="e">
        <f ca="1"/>
        <v>#N/A</v>
      </c>
      <c r="P50" t="e">
        <f ca="1"/>
        <v>#N/A</v>
      </c>
      <c r="Q50" t="e">
        <f ca="1"/>
        <v>#N/A</v>
      </c>
      <c r="R50" t="e">
        <f ca="1"/>
        <v>#N/A</v>
      </c>
      <c r="S50" t="e">
        <f ca="1"/>
        <v>#N/A</v>
      </c>
      <c r="T50" t="e">
        <f ca="1"/>
        <v>#N/A</v>
      </c>
      <c r="U50" t="e">
        <f ca="1"/>
        <v>#N/A</v>
      </c>
    </row>
    <row r="51" spans="2:21" x14ac:dyDescent="0.25">
      <c r="B51" t="str">
        <f ca="1"/>
        <v>LAUGB</v>
      </c>
      <c r="C51" t="str">
        <f ca="1"/>
        <v>Laughing Bacchus Wine Cellars</v>
      </c>
      <c r="D51" t="str">
        <f ca="1"/>
        <v>Yoshi Tannamuri</v>
      </c>
      <c r="E51" t="str">
        <f ca="1"/>
        <v>Marketing Assistant</v>
      </c>
      <c r="F51" t="str">
        <f ca="1"/>
        <v>1900 Oak St.</v>
      </c>
      <c r="G51" t="str">
        <f ca="1"/>
        <v>Vancouver</v>
      </c>
      <c r="H51" t="str">
        <f ca="1"/>
        <v>BC</v>
      </c>
      <c r="I51" t="str">
        <f ca="1"/>
        <v>V3F 2K1</v>
      </c>
      <c r="J51" t="str">
        <f ca="1"/>
        <v>Canada</v>
      </c>
      <c r="K51" t="str">
        <f ca="1"/>
        <v>(604) 555-3392</v>
      </c>
      <c r="L51" t="str">
        <f ca="1"/>
        <v>(604) 555-7293</v>
      </c>
      <c r="M51" t="e">
        <f ca="1"/>
        <v>#N/A</v>
      </c>
      <c r="N51" t="e">
        <f ca="1"/>
        <v>#N/A</v>
      </c>
      <c r="O51" t="e">
        <f ca="1"/>
        <v>#N/A</v>
      </c>
      <c r="P51" t="e">
        <f ca="1"/>
        <v>#N/A</v>
      </c>
      <c r="Q51" t="e">
        <f ca="1"/>
        <v>#N/A</v>
      </c>
      <c r="R51" t="e">
        <f ca="1"/>
        <v>#N/A</v>
      </c>
      <c r="S51" t="e">
        <f ca="1"/>
        <v>#N/A</v>
      </c>
      <c r="T51" t="e">
        <f ca="1"/>
        <v>#N/A</v>
      </c>
      <c r="U51" t="e">
        <f ca="1"/>
        <v>#N/A</v>
      </c>
    </row>
    <row r="52" spans="2:21" x14ac:dyDescent="0.25">
      <c r="B52" t="str">
        <f ca="1"/>
        <v>LAZYK</v>
      </c>
      <c r="C52" t="str">
        <f ca="1"/>
        <v>Lazy K Kountry Store</v>
      </c>
      <c r="D52" t="str">
        <f ca="1"/>
        <v>John Steel</v>
      </c>
      <c r="E52" t="str">
        <f ca="1"/>
        <v>Marketing Manager</v>
      </c>
      <c r="F52" t="str">
        <f ca="1"/>
        <v>12 Orchestra Terrace</v>
      </c>
      <c r="G52" t="str">
        <f ca="1"/>
        <v>Walla Walla</v>
      </c>
      <c r="H52" t="str">
        <f ca="1"/>
        <v>WA</v>
      </c>
      <c r="I52" t="str">
        <f ca="1"/>
        <v>99362</v>
      </c>
      <c r="J52" t="str">
        <f ca="1"/>
        <v>USA</v>
      </c>
      <c r="K52" t="str">
        <f ca="1"/>
        <v>(509) 555-7969</v>
      </c>
      <c r="L52" t="str">
        <f ca="1"/>
        <v>(509) 555-6221</v>
      </c>
      <c r="M52" t="e">
        <f ca="1"/>
        <v>#N/A</v>
      </c>
      <c r="N52" t="e">
        <f ca="1"/>
        <v>#N/A</v>
      </c>
      <c r="O52" t="e">
        <f ca="1"/>
        <v>#N/A</v>
      </c>
      <c r="P52" t="e">
        <f ca="1"/>
        <v>#N/A</v>
      </c>
      <c r="Q52" t="e">
        <f ca="1"/>
        <v>#N/A</v>
      </c>
      <c r="R52" t="e">
        <f ca="1"/>
        <v>#N/A</v>
      </c>
      <c r="S52" t="e">
        <f ca="1"/>
        <v>#N/A</v>
      </c>
      <c r="T52" t="e">
        <f ca="1"/>
        <v>#N/A</v>
      </c>
      <c r="U52" t="e">
        <f ca="1"/>
        <v>#N/A</v>
      </c>
    </row>
    <row r="53" spans="2:21" x14ac:dyDescent="0.25">
      <c r="B53" t="str">
        <f ca="1"/>
        <v>LEHMS</v>
      </c>
      <c r="C53" t="str">
        <f ca="1"/>
        <v>Lehmanns Marktstand</v>
      </c>
      <c r="D53" t="str">
        <f ca="1"/>
        <v>Renate Messner</v>
      </c>
      <c r="E53" t="str">
        <f ca="1"/>
        <v>Sales Representative</v>
      </c>
      <c r="F53" t="str">
        <f ca="1"/>
        <v>Magazinweg 7</v>
      </c>
      <c r="G53" t="str">
        <f ca="1"/>
        <v>Frankfurt a.M.</v>
      </c>
      <c r="H53" t="str">
        <f ca="1"/>
        <v/>
      </c>
      <c r="I53" t="str">
        <f ca="1"/>
        <v>60528</v>
      </c>
      <c r="J53" t="str">
        <f ca="1"/>
        <v>Germany</v>
      </c>
      <c r="K53" t="str">
        <f ca="1"/>
        <v>069-0245984</v>
      </c>
      <c r="L53" t="str">
        <f ca="1"/>
        <v>069-0245874</v>
      </c>
      <c r="M53" t="e">
        <f ca="1"/>
        <v>#N/A</v>
      </c>
      <c r="N53" t="e">
        <f ca="1"/>
        <v>#N/A</v>
      </c>
      <c r="O53" t="e">
        <f ca="1"/>
        <v>#N/A</v>
      </c>
      <c r="P53" t="e">
        <f ca="1"/>
        <v>#N/A</v>
      </c>
      <c r="Q53" t="e">
        <f ca="1"/>
        <v>#N/A</v>
      </c>
      <c r="R53" t="e">
        <f ca="1"/>
        <v>#N/A</v>
      </c>
      <c r="S53" t="e">
        <f ca="1"/>
        <v>#N/A</v>
      </c>
      <c r="T53" t="e">
        <f ca="1"/>
        <v>#N/A</v>
      </c>
      <c r="U53" t="e">
        <f ca="1"/>
        <v>#N/A</v>
      </c>
    </row>
    <row r="54" spans="2:21" x14ac:dyDescent="0.25">
      <c r="B54" t="str">
        <f ca="1"/>
        <v>LETSS</v>
      </c>
      <c r="C54" t="str">
        <f ca="1"/>
        <v>Let's Stop N Shop</v>
      </c>
      <c r="D54" t="str">
        <f ca="1"/>
        <v>Jaime Yorres</v>
      </c>
      <c r="E54" t="str">
        <f ca="1"/>
        <v>Owner</v>
      </c>
      <c r="F54" t="str">
        <f ca="1"/>
        <v>87 Polk St. Suite 5</v>
      </c>
      <c r="G54" t="str">
        <f ca="1"/>
        <v>San Francisco</v>
      </c>
      <c r="H54" t="str">
        <f ca="1"/>
        <v>CA</v>
      </c>
      <c r="I54" t="str">
        <f ca="1"/>
        <v>94117</v>
      </c>
      <c r="J54" t="str">
        <f ca="1"/>
        <v>USA</v>
      </c>
      <c r="K54" t="str">
        <f ca="1"/>
        <v>(415) 555-5938</v>
      </c>
      <c r="L54" t="str">
        <f ca="1"/>
        <v/>
      </c>
      <c r="M54" t="e">
        <f ca="1"/>
        <v>#N/A</v>
      </c>
      <c r="N54" t="e">
        <f ca="1"/>
        <v>#N/A</v>
      </c>
      <c r="O54" t="e">
        <f ca="1"/>
        <v>#N/A</v>
      </c>
      <c r="P54" t="e">
        <f ca="1"/>
        <v>#N/A</v>
      </c>
      <c r="Q54" t="e">
        <f ca="1"/>
        <v>#N/A</v>
      </c>
      <c r="R54" t="e">
        <f ca="1"/>
        <v>#N/A</v>
      </c>
      <c r="S54" t="e">
        <f ca="1"/>
        <v>#N/A</v>
      </c>
      <c r="T54" t="e">
        <f ca="1"/>
        <v>#N/A</v>
      </c>
      <c r="U54" t="e">
        <f ca="1"/>
        <v>#N/A</v>
      </c>
    </row>
    <row r="55" spans="2:21" x14ac:dyDescent="0.25">
      <c r="B55" t="str">
        <f ca="1"/>
        <v>LILAS</v>
      </c>
      <c r="C55" t="str">
        <f ca="1"/>
        <v>LILA-Supermercado</v>
      </c>
      <c r="D55" t="str">
        <f ca="1"/>
        <v>Carlos González</v>
      </c>
      <c r="E55" t="str">
        <f ca="1"/>
        <v>Accounting Manager</v>
      </c>
      <c r="F55" t="str">
        <f ca="1"/>
        <v>Carrera 52 con Ave. Bolívar #65-98 Llano Largo</v>
      </c>
      <c r="G55" t="str">
        <f ca="1"/>
        <v>Barquisimeto</v>
      </c>
      <c r="H55" t="str">
        <f ca="1"/>
        <v>Lara</v>
      </c>
      <c r="I55" t="str">
        <f ca="1"/>
        <v>3508</v>
      </c>
      <c r="J55" t="str">
        <f ca="1"/>
        <v>Venezuela</v>
      </c>
      <c r="K55" t="str">
        <f ca="1"/>
        <v>(9) 331-6954</v>
      </c>
      <c r="L55" t="str">
        <f ca="1"/>
        <v>(9) 331-7256</v>
      </c>
      <c r="M55" t="e">
        <f ca="1"/>
        <v>#N/A</v>
      </c>
      <c r="N55" t="e">
        <f ca="1"/>
        <v>#N/A</v>
      </c>
      <c r="O55" t="e">
        <f ca="1"/>
        <v>#N/A</v>
      </c>
      <c r="P55" t="e">
        <f ca="1"/>
        <v>#N/A</v>
      </c>
      <c r="Q55" t="e">
        <f ca="1"/>
        <v>#N/A</v>
      </c>
      <c r="R55" t="e">
        <f ca="1"/>
        <v>#N/A</v>
      </c>
      <c r="S55" t="e">
        <f ca="1"/>
        <v>#N/A</v>
      </c>
      <c r="T55" t="e">
        <f ca="1"/>
        <v>#N/A</v>
      </c>
      <c r="U55" t="e">
        <f ca="1"/>
        <v>#N/A</v>
      </c>
    </row>
    <row r="56" spans="2:21" x14ac:dyDescent="0.25">
      <c r="B56" t="str">
        <f ca="1"/>
        <v>LINOD</v>
      </c>
      <c r="C56" t="str">
        <f ca="1"/>
        <v>LINO-Delicateses</v>
      </c>
      <c r="D56" t="str">
        <f ca="1"/>
        <v>Felipe Izquierdo</v>
      </c>
      <c r="E56" t="str">
        <f ca="1"/>
        <v>Owner</v>
      </c>
      <c r="F56" t="str">
        <f ca="1"/>
        <v>Ave. 5 de Mayo Porlamar</v>
      </c>
      <c r="G56" t="str">
        <f ca="1"/>
        <v>I. de Margarita</v>
      </c>
      <c r="H56" t="str">
        <f ca="1"/>
        <v>Nueva Esparta</v>
      </c>
      <c r="I56" t="str">
        <f ca="1"/>
        <v>4980</v>
      </c>
      <c r="J56" t="str">
        <f ca="1"/>
        <v>Venezuela</v>
      </c>
      <c r="K56" t="str">
        <f ca="1"/>
        <v>(8) 34-56-12</v>
      </c>
      <c r="L56" t="str">
        <f ca="1"/>
        <v>(8) 34-93-93</v>
      </c>
      <c r="M56" t="e">
        <f ca="1"/>
        <v>#N/A</v>
      </c>
      <c r="N56" t="e">
        <f ca="1"/>
        <v>#N/A</v>
      </c>
      <c r="O56" t="e">
        <f ca="1"/>
        <v>#N/A</v>
      </c>
      <c r="P56" t="e">
        <f ca="1"/>
        <v>#N/A</v>
      </c>
      <c r="Q56" t="e">
        <f ca="1"/>
        <v>#N/A</v>
      </c>
      <c r="R56" t="e">
        <f ca="1"/>
        <v>#N/A</v>
      </c>
      <c r="S56" t="e">
        <f ca="1"/>
        <v>#N/A</v>
      </c>
      <c r="T56" t="e">
        <f ca="1"/>
        <v>#N/A</v>
      </c>
      <c r="U56" t="e">
        <f ca="1"/>
        <v>#N/A</v>
      </c>
    </row>
    <row r="57" spans="2:21" x14ac:dyDescent="0.25">
      <c r="B57" t="str">
        <f ca="1"/>
        <v>LONEP</v>
      </c>
      <c r="C57" t="str">
        <f ca="1"/>
        <v>Lonesome Pine Restaurant</v>
      </c>
      <c r="D57" t="str">
        <f ca="1"/>
        <v>Fran Wilson</v>
      </c>
      <c r="E57" t="str">
        <f ca="1"/>
        <v>Sales Manager</v>
      </c>
      <c r="F57" t="str">
        <f ca="1"/>
        <v>89 Chiaroscuro Rd.</v>
      </c>
      <c r="G57" t="str">
        <f ca="1"/>
        <v>Portland</v>
      </c>
      <c r="H57" t="str">
        <f ca="1"/>
        <v>OR</v>
      </c>
      <c r="I57" t="str">
        <f ca="1"/>
        <v>97219</v>
      </c>
      <c r="J57" t="str">
        <f ca="1"/>
        <v>USA</v>
      </c>
      <c r="K57" t="str">
        <f ca="1"/>
        <v>(503) 555-9573</v>
      </c>
      <c r="L57" t="str">
        <f ca="1"/>
        <v>(503) 555-9646</v>
      </c>
      <c r="M57" t="e">
        <f ca="1"/>
        <v>#N/A</v>
      </c>
      <c r="N57" t="e">
        <f ca="1"/>
        <v>#N/A</v>
      </c>
      <c r="O57" t="e">
        <f ca="1"/>
        <v>#N/A</v>
      </c>
      <c r="P57" t="e">
        <f ca="1"/>
        <v>#N/A</v>
      </c>
      <c r="Q57" t="e">
        <f ca="1"/>
        <v>#N/A</v>
      </c>
      <c r="R57" t="e">
        <f ca="1"/>
        <v>#N/A</v>
      </c>
      <c r="S57" t="e">
        <f ca="1"/>
        <v>#N/A</v>
      </c>
      <c r="T57" t="e">
        <f ca="1"/>
        <v>#N/A</v>
      </c>
      <c r="U57" t="e">
        <f ca="1"/>
        <v>#N/A</v>
      </c>
    </row>
    <row r="58" spans="2:21" x14ac:dyDescent="0.25">
      <c r="B58" t="str">
        <f ca="1"/>
        <v>MAGAA</v>
      </c>
      <c r="C58" t="str">
        <f ca="1"/>
        <v>Magazzini Alimentari Riuniti</v>
      </c>
      <c r="D58" t="str">
        <f ca="1"/>
        <v>Giovanni Rovelli</v>
      </c>
      <c r="E58" t="str">
        <f ca="1"/>
        <v>Marketing Manager</v>
      </c>
      <c r="F58" t="str">
        <f ca="1"/>
        <v>Via Ludovico il Moro 22</v>
      </c>
      <c r="G58" t="str">
        <f ca="1"/>
        <v>Bergamo</v>
      </c>
      <c r="H58" t="str">
        <f ca="1"/>
        <v/>
      </c>
      <c r="I58" t="str">
        <f ca="1"/>
        <v>24100</v>
      </c>
      <c r="J58" t="str">
        <f ca="1"/>
        <v>Italy</v>
      </c>
      <c r="K58" t="str">
        <f ca="1"/>
        <v>035-640230</v>
      </c>
      <c r="L58" t="str">
        <f ca="1"/>
        <v>035-640231</v>
      </c>
      <c r="M58" t="e">
        <f ca="1"/>
        <v>#N/A</v>
      </c>
      <c r="N58" t="e">
        <f ca="1"/>
        <v>#N/A</v>
      </c>
      <c r="O58" t="e">
        <f ca="1"/>
        <v>#N/A</v>
      </c>
      <c r="P58" t="e">
        <f ca="1"/>
        <v>#N/A</v>
      </c>
      <c r="Q58" t="e">
        <f ca="1"/>
        <v>#N/A</v>
      </c>
      <c r="R58" t="e">
        <f ca="1"/>
        <v>#N/A</v>
      </c>
      <c r="S58" t="e">
        <f ca="1"/>
        <v>#N/A</v>
      </c>
      <c r="T58" t="e">
        <f ca="1"/>
        <v>#N/A</v>
      </c>
      <c r="U58" t="e">
        <f ca="1"/>
        <v>#N/A</v>
      </c>
    </row>
    <row r="59" spans="2:21" x14ac:dyDescent="0.25">
      <c r="B59" t="str">
        <f ca="1"/>
        <v>MAISD</v>
      </c>
      <c r="C59" t="str">
        <f ca="1"/>
        <v>Maison Dewey</v>
      </c>
      <c r="D59" t="str">
        <f ca="1"/>
        <v>Catherine Dewey</v>
      </c>
      <c r="E59" t="str">
        <f ca="1"/>
        <v>Sales Agent</v>
      </c>
      <c r="F59" t="str">
        <f ca="1"/>
        <v>Rue Joseph-Bens 532</v>
      </c>
      <c r="G59" t="str">
        <f ca="1"/>
        <v>Bruxelles</v>
      </c>
      <c r="H59" t="str">
        <f ca="1"/>
        <v/>
      </c>
      <c r="I59" t="str">
        <f ca="1"/>
        <v>B-1180</v>
      </c>
      <c r="J59" t="str">
        <f ca="1"/>
        <v>Belgium</v>
      </c>
      <c r="K59" t="str">
        <f ca="1"/>
        <v>(02) 201 24 67</v>
      </c>
      <c r="L59" t="str">
        <f ca="1"/>
        <v>(02) 201 24 68</v>
      </c>
      <c r="M59" t="e">
        <f ca="1"/>
        <v>#N/A</v>
      </c>
      <c r="N59" t="e">
        <f ca="1"/>
        <v>#N/A</v>
      </c>
      <c r="O59" t="e">
        <f ca="1"/>
        <v>#N/A</v>
      </c>
      <c r="P59" t="e">
        <f ca="1"/>
        <v>#N/A</v>
      </c>
      <c r="Q59" t="e">
        <f ca="1"/>
        <v>#N/A</v>
      </c>
      <c r="R59" t="e">
        <f ca="1"/>
        <v>#N/A</v>
      </c>
      <c r="S59" t="e">
        <f ca="1"/>
        <v>#N/A</v>
      </c>
      <c r="T59" t="e">
        <f ca="1"/>
        <v>#N/A</v>
      </c>
      <c r="U59" t="e">
        <f ca="1"/>
        <v>#N/A</v>
      </c>
    </row>
    <row r="60" spans="2:21" x14ac:dyDescent="0.25">
      <c r="B60" t="e">
        <f ca="1"/>
        <v>#N/A</v>
      </c>
      <c r="C60" t="e">
        <f ca="1"/>
        <v>#N/A</v>
      </c>
      <c r="D60" t="e">
        <f ca="1"/>
        <v>#N/A</v>
      </c>
      <c r="E60" t="e">
        <f ca="1"/>
        <v>#N/A</v>
      </c>
      <c r="F60" t="e">
        <f ca="1"/>
        <v>#N/A</v>
      </c>
      <c r="G60" t="e">
        <f ca="1"/>
        <v>#N/A</v>
      </c>
      <c r="H60" t="e">
        <f ca="1"/>
        <v>#N/A</v>
      </c>
      <c r="I60" t="e">
        <f ca="1"/>
        <v>#N/A</v>
      </c>
      <c r="J60" t="e">
        <f ca="1"/>
        <v>#N/A</v>
      </c>
      <c r="K60" t="e">
        <f ca="1"/>
        <v>#N/A</v>
      </c>
      <c r="L60" t="e">
        <f ca="1"/>
        <v>#N/A</v>
      </c>
      <c r="M60" t="e">
        <f ca="1"/>
        <v>#N/A</v>
      </c>
      <c r="N60" t="e">
        <f ca="1"/>
        <v>#N/A</v>
      </c>
      <c r="O60" t="e">
        <f ca="1"/>
        <v>#N/A</v>
      </c>
      <c r="P60" t="e">
        <f ca="1"/>
        <v>#N/A</v>
      </c>
      <c r="Q60" t="e">
        <f ca="1"/>
        <v>#N/A</v>
      </c>
      <c r="R60" t="e">
        <f ca="1"/>
        <v>#N/A</v>
      </c>
      <c r="S60" t="e">
        <f ca="1"/>
        <v>#N/A</v>
      </c>
      <c r="T60" t="e">
        <f ca="1"/>
        <v>#N/A</v>
      </c>
      <c r="U60" t="e">
        <f ca="1"/>
        <v>#N/A</v>
      </c>
    </row>
    <row r="61" spans="2:21" x14ac:dyDescent="0.25">
      <c r="B61" t="e">
        <f ca="1"/>
        <v>#N/A</v>
      </c>
      <c r="C61" t="e">
        <f ca="1"/>
        <v>#N/A</v>
      </c>
      <c r="D61" t="e">
        <f ca="1"/>
        <v>#N/A</v>
      </c>
      <c r="E61" t="e">
        <f ca="1"/>
        <v>#N/A</v>
      </c>
      <c r="F61" t="e">
        <f ca="1"/>
        <v>#N/A</v>
      </c>
      <c r="G61" t="e">
        <f ca="1"/>
        <v>#N/A</v>
      </c>
      <c r="H61" t="e">
        <f ca="1"/>
        <v>#N/A</v>
      </c>
      <c r="I61" t="e">
        <f ca="1"/>
        <v>#N/A</v>
      </c>
      <c r="J61" t="e">
        <f ca="1"/>
        <v>#N/A</v>
      </c>
      <c r="K61" t="e">
        <f ca="1"/>
        <v>#N/A</v>
      </c>
      <c r="L61" t="e">
        <f ca="1"/>
        <v>#N/A</v>
      </c>
      <c r="M61" t="e">
        <f ca="1"/>
        <v>#N/A</v>
      </c>
      <c r="N61" t="e">
        <f ca="1"/>
        <v>#N/A</v>
      </c>
      <c r="O61" t="e">
        <f ca="1"/>
        <v>#N/A</v>
      </c>
      <c r="P61" t="e">
        <f ca="1"/>
        <v>#N/A</v>
      </c>
      <c r="Q61" t="e">
        <f ca="1"/>
        <v>#N/A</v>
      </c>
      <c r="R61" t="e">
        <f ca="1"/>
        <v>#N/A</v>
      </c>
      <c r="S61" t="e">
        <f ca="1"/>
        <v>#N/A</v>
      </c>
      <c r="T61" t="e">
        <f ca="1"/>
        <v>#N/A</v>
      </c>
      <c r="U61" t="e">
        <f ca="1"/>
        <v>#N/A</v>
      </c>
    </row>
    <row r="62" spans="2:21" x14ac:dyDescent="0.25">
      <c r="B62" t="e">
        <f ca="1"/>
        <v>#N/A</v>
      </c>
      <c r="C62" t="e">
        <f ca="1"/>
        <v>#N/A</v>
      </c>
      <c r="D62" t="e">
        <f ca="1"/>
        <v>#N/A</v>
      </c>
      <c r="E62" t="e">
        <f ca="1"/>
        <v>#N/A</v>
      </c>
      <c r="F62" t="e">
        <f ca="1"/>
        <v>#N/A</v>
      </c>
      <c r="G62" t="e">
        <f ca="1"/>
        <v>#N/A</v>
      </c>
      <c r="H62" t="e">
        <f ca="1"/>
        <v>#N/A</v>
      </c>
      <c r="I62" t="e">
        <f ca="1"/>
        <v>#N/A</v>
      </c>
      <c r="J62" t="e">
        <f ca="1"/>
        <v>#N/A</v>
      </c>
      <c r="K62" t="e">
        <f ca="1"/>
        <v>#N/A</v>
      </c>
      <c r="L62" t="e">
        <f ca="1"/>
        <v>#N/A</v>
      </c>
      <c r="M62" t="e">
        <f ca="1"/>
        <v>#N/A</v>
      </c>
      <c r="N62" t="e">
        <f ca="1"/>
        <v>#N/A</v>
      </c>
      <c r="O62" t="e">
        <f ca="1"/>
        <v>#N/A</v>
      </c>
      <c r="P62" t="e">
        <f ca="1"/>
        <v>#N/A</v>
      </c>
      <c r="Q62" t="e">
        <f ca="1"/>
        <v>#N/A</v>
      </c>
      <c r="R62" t="e">
        <f ca="1"/>
        <v>#N/A</v>
      </c>
      <c r="S62" t="e">
        <f ca="1"/>
        <v>#N/A</v>
      </c>
      <c r="T62" t="e">
        <f ca="1"/>
        <v>#N/A</v>
      </c>
      <c r="U62" t="e">
        <f ca="1"/>
        <v>#N/A</v>
      </c>
    </row>
    <row r="63" spans="2:21" x14ac:dyDescent="0.25">
      <c r="B63" t="e">
        <f ca="1"/>
        <v>#N/A</v>
      </c>
      <c r="C63" t="e">
        <f ca="1"/>
        <v>#N/A</v>
      </c>
      <c r="D63" t="e">
        <f ca="1"/>
        <v>#N/A</v>
      </c>
      <c r="E63" t="e">
        <f ca="1"/>
        <v>#N/A</v>
      </c>
      <c r="F63" t="e">
        <f ca="1"/>
        <v>#N/A</v>
      </c>
      <c r="G63" t="e">
        <f ca="1"/>
        <v>#N/A</v>
      </c>
      <c r="H63" t="e">
        <f ca="1"/>
        <v>#N/A</v>
      </c>
      <c r="I63" t="e">
        <f ca="1"/>
        <v>#N/A</v>
      </c>
      <c r="J63" t="e">
        <f ca="1"/>
        <v>#N/A</v>
      </c>
      <c r="K63" t="e">
        <f ca="1"/>
        <v>#N/A</v>
      </c>
      <c r="L63" t="e">
        <f ca="1"/>
        <v>#N/A</v>
      </c>
      <c r="M63" t="e">
        <f ca="1"/>
        <v>#N/A</v>
      </c>
      <c r="N63" t="e">
        <f ca="1"/>
        <v>#N/A</v>
      </c>
      <c r="O63" t="e">
        <f ca="1"/>
        <v>#N/A</v>
      </c>
      <c r="P63" t="e">
        <f ca="1"/>
        <v>#N/A</v>
      </c>
      <c r="Q63" t="e">
        <f ca="1"/>
        <v>#N/A</v>
      </c>
      <c r="R63" t="e">
        <f ca="1"/>
        <v>#N/A</v>
      </c>
      <c r="S63" t="e">
        <f ca="1"/>
        <v>#N/A</v>
      </c>
      <c r="T63" t="e">
        <f ca="1"/>
        <v>#N/A</v>
      </c>
      <c r="U63" t="e">
        <f ca="1"/>
        <v>#N/A</v>
      </c>
    </row>
    <row r="64" spans="2:21" x14ac:dyDescent="0.25">
      <c r="B64" t="e">
        <f ca="1"/>
        <v>#N/A</v>
      </c>
      <c r="C64" t="e">
        <f ca="1"/>
        <v>#N/A</v>
      </c>
      <c r="D64" t="e">
        <f ca="1"/>
        <v>#N/A</v>
      </c>
      <c r="E64" t="e">
        <f ca="1"/>
        <v>#N/A</v>
      </c>
      <c r="F64" t="e">
        <f ca="1"/>
        <v>#N/A</v>
      </c>
      <c r="G64" t="e">
        <f ca="1"/>
        <v>#N/A</v>
      </c>
      <c r="H64" t="e">
        <f ca="1"/>
        <v>#N/A</v>
      </c>
      <c r="I64" t="e">
        <f ca="1"/>
        <v>#N/A</v>
      </c>
      <c r="J64" t="e">
        <f ca="1"/>
        <v>#N/A</v>
      </c>
      <c r="K64" t="e">
        <f ca="1"/>
        <v>#N/A</v>
      </c>
      <c r="L64" t="e">
        <f ca="1"/>
        <v>#N/A</v>
      </c>
      <c r="M64" t="e">
        <f ca="1"/>
        <v>#N/A</v>
      </c>
      <c r="N64" t="e">
        <f ca="1"/>
        <v>#N/A</v>
      </c>
      <c r="O64" t="e">
        <f ca="1"/>
        <v>#N/A</v>
      </c>
      <c r="P64" t="e">
        <f ca="1"/>
        <v>#N/A</v>
      </c>
      <c r="Q64" t="e">
        <f ca="1"/>
        <v>#N/A</v>
      </c>
      <c r="R64" t="e">
        <f ca="1"/>
        <v>#N/A</v>
      </c>
      <c r="S64" t="e">
        <f ca="1"/>
        <v>#N/A</v>
      </c>
      <c r="T64" t="e">
        <f ca="1"/>
        <v>#N/A</v>
      </c>
      <c r="U64" t="e">
        <f ca="1"/>
        <v>#N/A</v>
      </c>
    </row>
    <row r="65" spans="2:21" x14ac:dyDescent="0.25">
      <c r="B65" t="e">
        <f ca="1"/>
        <v>#N/A</v>
      </c>
      <c r="C65" t="e">
        <f ca="1"/>
        <v>#N/A</v>
      </c>
      <c r="D65" t="e">
        <f ca="1"/>
        <v>#N/A</v>
      </c>
      <c r="E65" t="e">
        <f ca="1"/>
        <v>#N/A</v>
      </c>
      <c r="F65" t="e">
        <f ca="1"/>
        <v>#N/A</v>
      </c>
      <c r="G65" t="e">
        <f ca="1"/>
        <v>#N/A</v>
      </c>
      <c r="H65" t="e">
        <f ca="1"/>
        <v>#N/A</v>
      </c>
      <c r="I65" t="e">
        <f ca="1"/>
        <v>#N/A</v>
      </c>
      <c r="J65" t="e">
        <f ca="1"/>
        <v>#N/A</v>
      </c>
      <c r="K65" t="e">
        <f ca="1"/>
        <v>#N/A</v>
      </c>
      <c r="L65" t="e">
        <f ca="1"/>
        <v>#N/A</v>
      </c>
      <c r="M65" t="e">
        <f ca="1"/>
        <v>#N/A</v>
      </c>
      <c r="N65" t="e">
        <f ca="1"/>
        <v>#N/A</v>
      </c>
      <c r="O65" t="e">
        <f ca="1"/>
        <v>#N/A</v>
      </c>
      <c r="P65" t="e">
        <f ca="1"/>
        <v>#N/A</v>
      </c>
      <c r="Q65" t="e">
        <f ca="1"/>
        <v>#N/A</v>
      </c>
      <c r="R65" t="e">
        <f ca="1"/>
        <v>#N/A</v>
      </c>
      <c r="S65" t="e">
        <f ca="1"/>
        <v>#N/A</v>
      </c>
      <c r="T65" t="e">
        <f ca="1"/>
        <v>#N/A</v>
      </c>
      <c r="U65" t="e">
        <f ca="1"/>
        <v>#N/A</v>
      </c>
    </row>
    <row r="66" spans="2:21" x14ac:dyDescent="0.25">
      <c r="B66" t="e">
        <f ca="1"/>
        <v>#N/A</v>
      </c>
      <c r="C66" t="e">
        <f ca="1"/>
        <v>#N/A</v>
      </c>
      <c r="D66" t="e">
        <f ca="1"/>
        <v>#N/A</v>
      </c>
      <c r="E66" t="e">
        <f ca="1"/>
        <v>#N/A</v>
      </c>
      <c r="F66" t="e">
        <f ca="1"/>
        <v>#N/A</v>
      </c>
      <c r="G66" t="e">
        <f ca="1"/>
        <v>#N/A</v>
      </c>
      <c r="H66" t="e">
        <f ca="1"/>
        <v>#N/A</v>
      </c>
      <c r="I66" t="e">
        <f ca="1"/>
        <v>#N/A</v>
      </c>
      <c r="J66" t="e">
        <f ca="1"/>
        <v>#N/A</v>
      </c>
      <c r="K66" t="e">
        <f ca="1"/>
        <v>#N/A</v>
      </c>
      <c r="L66" t="e">
        <f ca="1"/>
        <v>#N/A</v>
      </c>
      <c r="M66" t="e">
        <f ca="1"/>
        <v>#N/A</v>
      </c>
      <c r="N66" t="e">
        <f ca="1"/>
        <v>#N/A</v>
      </c>
      <c r="O66" t="e">
        <f ca="1"/>
        <v>#N/A</v>
      </c>
      <c r="P66" t="e">
        <f ca="1"/>
        <v>#N/A</v>
      </c>
      <c r="Q66" t="e">
        <f ca="1"/>
        <v>#N/A</v>
      </c>
      <c r="R66" t="e">
        <f ca="1"/>
        <v>#N/A</v>
      </c>
      <c r="S66" t="e">
        <f ca="1"/>
        <v>#N/A</v>
      </c>
      <c r="T66" t="e">
        <f ca="1"/>
        <v>#N/A</v>
      </c>
      <c r="U66" t="e">
        <f ca="1"/>
        <v>#N/A</v>
      </c>
    </row>
    <row r="67" spans="2:21" x14ac:dyDescent="0.25">
      <c r="B67" t="e">
        <f ca="1"/>
        <v>#N/A</v>
      </c>
      <c r="C67" t="e">
        <f ca="1"/>
        <v>#N/A</v>
      </c>
      <c r="D67" t="e">
        <f ca="1"/>
        <v>#N/A</v>
      </c>
      <c r="E67" t="e">
        <f ca="1"/>
        <v>#N/A</v>
      </c>
      <c r="F67" t="e">
        <f ca="1"/>
        <v>#N/A</v>
      </c>
      <c r="G67" t="e">
        <f ca="1"/>
        <v>#N/A</v>
      </c>
      <c r="H67" t="e">
        <f ca="1"/>
        <v>#N/A</v>
      </c>
      <c r="I67" t="e">
        <f ca="1"/>
        <v>#N/A</v>
      </c>
      <c r="J67" t="e">
        <f ca="1"/>
        <v>#N/A</v>
      </c>
      <c r="K67" t="e">
        <f ca="1"/>
        <v>#N/A</v>
      </c>
      <c r="L67" t="e">
        <f ca="1"/>
        <v>#N/A</v>
      </c>
      <c r="M67" t="e">
        <f ca="1"/>
        <v>#N/A</v>
      </c>
      <c r="N67" t="e">
        <f ca="1"/>
        <v>#N/A</v>
      </c>
      <c r="O67" t="e">
        <f ca="1"/>
        <v>#N/A</v>
      </c>
      <c r="P67" t="e">
        <f ca="1"/>
        <v>#N/A</v>
      </c>
      <c r="Q67" t="e">
        <f ca="1"/>
        <v>#N/A</v>
      </c>
      <c r="R67" t="e">
        <f ca="1"/>
        <v>#N/A</v>
      </c>
      <c r="S67" t="e">
        <f ca="1"/>
        <v>#N/A</v>
      </c>
      <c r="T67" t="e">
        <f ca="1"/>
        <v>#N/A</v>
      </c>
      <c r="U67" t="e">
        <f ca="1"/>
        <v>#N/A</v>
      </c>
    </row>
    <row r="68" spans="2:21" x14ac:dyDescent="0.25">
      <c r="B68" t="e">
        <f ca="1"/>
        <v>#N/A</v>
      </c>
      <c r="C68" t="e">
        <f ca="1"/>
        <v>#N/A</v>
      </c>
      <c r="D68" t="e">
        <f ca="1"/>
        <v>#N/A</v>
      </c>
      <c r="E68" t="e">
        <f ca="1"/>
        <v>#N/A</v>
      </c>
      <c r="F68" t="e">
        <f ca="1"/>
        <v>#N/A</v>
      </c>
      <c r="G68" t="e">
        <f ca="1"/>
        <v>#N/A</v>
      </c>
      <c r="H68" t="e">
        <f ca="1"/>
        <v>#N/A</v>
      </c>
      <c r="I68" t="e">
        <f ca="1"/>
        <v>#N/A</v>
      </c>
      <c r="J68" t="e">
        <f ca="1"/>
        <v>#N/A</v>
      </c>
      <c r="K68" t="e">
        <f ca="1"/>
        <v>#N/A</v>
      </c>
      <c r="L68" t="e">
        <f ca="1"/>
        <v>#N/A</v>
      </c>
      <c r="M68" t="e">
        <f ca="1"/>
        <v>#N/A</v>
      </c>
      <c r="N68" t="e">
        <f ca="1"/>
        <v>#N/A</v>
      </c>
      <c r="O68" t="e">
        <f ca="1"/>
        <v>#N/A</v>
      </c>
      <c r="P68" t="e">
        <f ca="1"/>
        <v>#N/A</v>
      </c>
      <c r="Q68" t="e">
        <f ca="1"/>
        <v>#N/A</v>
      </c>
      <c r="R68" t="e">
        <f ca="1"/>
        <v>#N/A</v>
      </c>
      <c r="S68" t="e">
        <f ca="1"/>
        <v>#N/A</v>
      </c>
      <c r="T68" t="e">
        <f ca="1"/>
        <v>#N/A</v>
      </c>
      <c r="U68" t="e">
        <f ca="1"/>
        <v>#N/A</v>
      </c>
    </row>
    <row r="69" spans="2:21" x14ac:dyDescent="0.25">
      <c r="B69" t="e">
        <f ca="1"/>
        <v>#N/A</v>
      </c>
      <c r="C69" t="e">
        <f ca="1"/>
        <v>#N/A</v>
      </c>
      <c r="D69" t="e">
        <f ca="1"/>
        <v>#N/A</v>
      </c>
      <c r="E69" t="e">
        <f ca="1"/>
        <v>#N/A</v>
      </c>
      <c r="F69" t="e">
        <f ca="1"/>
        <v>#N/A</v>
      </c>
      <c r="G69" t="e">
        <f ca="1"/>
        <v>#N/A</v>
      </c>
      <c r="H69" t="e">
        <f ca="1"/>
        <v>#N/A</v>
      </c>
      <c r="I69" t="e">
        <f ca="1"/>
        <v>#N/A</v>
      </c>
      <c r="J69" t="e">
        <f ca="1"/>
        <v>#N/A</v>
      </c>
      <c r="K69" t="e">
        <f ca="1"/>
        <v>#N/A</v>
      </c>
      <c r="L69" t="e">
        <f ca="1"/>
        <v>#N/A</v>
      </c>
      <c r="M69" t="e">
        <f ca="1"/>
        <v>#N/A</v>
      </c>
      <c r="N69" t="e">
        <f ca="1"/>
        <v>#N/A</v>
      </c>
      <c r="O69" t="e">
        <f ca="1"/>
        <v>#N/A</v>
      </c>
      <c r="P69" t="e">
        <f ca="1"/>
        <v>#N/A</v>
      </c>
      <c r="Q69" t="e">
        <f ca="1"/>
        <v>#N/A</v>
      </c>
      <c r="R69" t="e">
        <f ca="1"/>
        <v>#N/A</v>
      </c>
      <c r="S69" t="e">
        <f ca="1"/>
        <v>#N/A</v>
      </c>
      <c r="T69" t="e">
        <f ca="1"/>
        <v>#N/A</v>
      </c>
      <c r="U69" t="e">
        <f ca="1"/>
        <v>#N/A</v>
      </c>
    </row>
    <row r="70" spans="2:21" x14ac:dyDescent="0.25">
      <c r="B70" t="e">
        <f ca="1"/>
        <v>#N/A</v>
      </c>
      <c r="C70" t="e">
        <f ca="1"/>
        <v>#N/A</v>
      </c>
      <c r="D70" t="e">
        <f ca="1"/>
        <v>#N/A</v>
      </c>
      <c r="E70" t="e">
        <f ca="1"/>
        <v>#N/A</v>
      </c>
      <c r="F70" t="e">
        <f ca="1"/>
        <v>#N/A</v>
      </c>
      <c r="G70" t="e">
        <f ca="1"/>
        <v>#N/A</v>
      </c>
      <c r="H70" t="e">
        <f ca="1"/>
        <v>#N/A</v>
      </c>
      <c r="I70" t="e">
        <f ca="1"/>
        <v>#N/A</v>
      </c>
      <c r="J70" t="e">
        <f ca="1"/>
        <v>#N/A</v>
      </c>
      <c r="K70" t="e">
        <f ca="1"/>
        <v>#N/A</v>
      </c>
      <c r="L70" t="e">
        <f ca="1"/>
        <v>#N/A</v>
      </c>
      <c r="M70" t="e">
        <f ca="1"/>
        <v>#N/A</v>
      </c>
      <c r="N70" t="e">
        <f ca="1"/>
        <v>#N/A</v>
      </c>
      <c r="O70" t="e">
        <f ca="1"/>
        <v>#N/A</v>
      </c>
      <c r="P70" t="e">
        <f ca="1"/>
        <v>#N/A</v>
      </c>
      <c r="Q70" t="e">
        <f ca="1"/>
        <v>#N/A</v>
      </c>
      <c r="R70" t="e">
        <f ca="1"/>
        <v>#N/A</v>
      </c>
      <c r="S70" t="e">
        <f ca="1"/>
        <v>#N/A</v>
      </c>
      <c r="T70" t="e">
        <f ca="1"/>
        <v>#N/A</v>
      </c>
      <c r="U70" t="e">
        <f ca="1"/>
        <v>#N/A</v>
      </c>
    </row>
    <row r="71" spans="2:21" x14ac:dyDescent="0.25">
      <c r="B71" t="e">
        <f ca="1"/>
        <v>#N/A</v>
      </c>
      <c r="C71" t="e">
        <f ca="1"/>
        <v>#N/A</v>
      </c>
      <c r="D71" t="e">
        <f ca="1"/>
        <v>#N/A</v>
      </c>
      <c r="E71" t="e">
        <f ca="1"/>
        <v>#N/A</v>
      </c>
      <c r="F71" t="e">
        <f ca="1"/>
        <v>#N/A</v>
      </c>
      <c r="G71" t="e">
        <f ca="1"/>
        <v>#N/A</v>
      </c>
      <c r="H71" t="e">
        <f ca="1"/>
        <v>#N/A</v>
      </c>
      <c r="I71" t="e">
        <f ca="1"/>
        <v>#N/A</v>
      </c>
      <c r="J71" t="e">
        <f ca="1"/>
        <v>#N/A</v>
      </c>
      <c r="K71" t="e">
        <f ca="1"/>
        <v>#N/A</v>
      </c>
      <c r="L71" t="e">
        <f ca="1"/>
        <v>#N/A</v>
      </c>
      <c r="M71" t="e">
        <f ca="1"/>
        <v>#N/A</v>
      </c>
      <c r="N71" t="e">
        <f ca="1"/>
        <v>#N/A</v>
      </c>
      <c r="O71" t="e">
        <f ca="1"/>
        <v>#N/A</v>
      </c>
      <c r="P71" t="e">
        <f ca="1"/>
        <v>#N/A</v>
      </c>
      <c r="Q71" t="e">
        <f ca="1"/>
        <v>#N/A</v>
      </c>
      <c r="R71" t="e">
        <f ca="1"/>
        <v>#N/A</v>
      </c>
      <c r="S71" t="e">
        <f ca="1"/>
        <v>#N/A</v>
      </c>
      <c r="T71" t="e">
        <f ca="1"/>
        <v>#N/A</v>
      </c>
      <c r="U71" t="e">
        <f ca="1"/>
        <v>#N/A</v>
      </c>
    </row>
    <row r="72" spans="2:21" x14ac:dyDescent="0.25">
      <c r="B72" t="e">
        <f ca="1"/>
        <v>#N/A</v>
      </c>
      <c r="C72" t="e">
        <f ca="1"/>
        <v>#N/A</v>
      </c>
      <c r="D72" t="e">
        <f ca="1"/>
        <v>#N/A</v>
      </c>
      <c r="E72" t="e">
        <f ca="1"/>
        <v>#N/A</v>
      </c>
      <c r="F72" t="e">
        <f ca="1"/>
        <v>#N/A</v>
      </c>
      <c r="G72" t="e">
        <f ca="1"/>
        <v>#N/A</v>
      </c>
      <c r="H72" t="e">
        <f ca="1"/>
        <v>#N/A</v>
      </c>
      <c r="I72" t="e">
        <f ca="1"/>
        <v>#N/A</v>
      </c>
      <c r="J72" t="e">
        <f ca="1"/>
        <v>#N/A</v>
      </c>
      <c r="K72" t="e">
        <f ca="1"/>
        <v>#N/A</v>
      </c>
      <c r="L72" t="e">
        <f ca="1"/>
        <v>#N/A</v>
      </c>
      <c r="M72" t="e">
        <f ca="1"/>
        <v>#N/A</v>
      </c>
      <c r="N72" t="e">
        <f ca="1"/>
        <v>#N/A</v>
      </c>
      <c r="O72" t="e">
        <f ca="1"/>
        <v>#N/A</v>
      </c>
      <c r="P72" t="e">
        <f ca="1"/>
        <v>#N/A</v>
      </c>
      <c r="Q72" t="e">
        <f ca="1"/>
        <v>#N/A</v>
      </c>
      <c r="R72" t="e">
        <f ca="1"/>
        <v>#N/A</v>
      </c>
      <c r="S72" t="e">
        <f ca="1"/>
        <v>#N/A</v>
      </c>
      <c r="T72" t="e">
        <f ca="1"/>
        <v>#N/A</v>
      </c>
      <c r="U72" t="e">
        <f ca="1"/>
        <v>#N/A</v>
      </c>
    </row>
    <row r="73" spans="2:21" x14ac:dyDescent="0.25">
      <c r="B73" t="e">
        <f ca="1"/>
        <v>#N/A</v>
      </c>
      <c r="C73" t="e">
        <f ca="1"/>
        <v>#N/A</v>
      </c>
      <c r="D73" t="e">
        <f ca="1"/>
        <v>#N/A</v>
      </c>
      <c r="E73" t="e">
        <f ca="1"/>
        <v>#N/A</v>
      </c>
      <c r="F73" t="e">
        <f ca="1"/>
        <v>#N/A</v>
      </c>
      <c r="G73" t="e">
        <f ca="1"/>
        <v>#N/A</v>
      </c>
      <c r="H73" t="e">
        <f ca="1"/>
        <v>#N/A</v>
      </c>
      <c r="I73" t="e">
        <f ca="1"/>
        <v>#N/A</v>
      </c>
      <c r="J73" t="e">
        <f ca="1"/>
        <v>#N/A</v>
      </c>
      <c r="K73" t="e">
        <f ca="1"/>
        <v>#N/A</v>
      </c>
      <c r="L73" t="e">
        <f ca="1"/>
        <v>#N/A</v>
      </c>
      <c r="M73" t="e">
        <f ca="1"/>
        <v>#N/A</v>
      </c>
      <c r="N73" t="e">
        <f ca="1"/>
        <v>#N/A</v>
      </c>
      <c r="O73" t="e">
        <f ca="1"/>
        <v>#N/A</v>
      </c>
      <c r="P73" t="e">
        <f ca="1"/>
        <v>#N/A</v>
      </c>
      <c r="Q73" t="e">
        <f ca="1"/>
        <v>#N/A</v>
      </c>
      <c r="R73" t="e">
        <f ca="1"/>
        <v>#N/A</v>
      </c>
      <c r="S73" t="e">
        <f ca="1"/>
        <v>#N/A</v>
      </c>
      <c r="T73" t="e">
        <f ca="1"/>
        <v>#N/A</v>
      </c>
      <c r="U73" t="e">
        <f ca="1"/>
        <v>#N/A</v>
      </c>
    </row>
    <row r="74" spans="2:21" x14ac:dyDescent="0.25">
      <c r="B74" t="e">
        <f ca="1"/>
        <v>#N/A</v>
      </c>
      <c r="C74" t="e">
        <f ca="1"/>
        <v>#N/A</v>
      </c>
      <c r="D74" t="e">
        <f ca="1"/>
        <v>#N/A</v>
      </c>
      <c r="E74" t="e">
        <f ca="1"/>
        <v>#N/A</v>
      </c>
      <c r="F74" t="e">
        <f ca="1"/>
        <v>#N/A</v>
      </c>
      <c r="G74" t="e">
        <f ca="1"/>
        <v>#N/A</v>
      </c>
      <c r="H74" t="e">
        <f ca="1"/>
        <v>#N/A</v>
      </c>
      <c r="I74" t="e">
        <f ca="1"/>
        <v>#N/A</v>
      </c>
      <c r="J74" t="e">
        <f ca="1"/>
        <v>#N/A</v>
      </c>
      <c r="K74" t="e">
        <f ca="1"/>
        <v>#N/A</v>
      </c>
      <c r="L74" t="e">
        <f ca="1"/>
        <v>#N/A</v>
      </c>
      <c r="M74" t="e">
        <f ca="1"/>
        <v>#N/A</v>
      </c>
      <c r="N74" t="e">
        <f ca="1"/>
        <v>#N/A</v>
      </c>
      <c r="O74" t="e">
        <f ca="1"/>
        <v>#N/A</v>
      </c>
      <c r="P74" t="e">
        <f ca="1"/>
        <v>#N/A</v>
      </c>
      <c r="Q74" t="e">
        <f ca="1"/>
        <v>#N/A</v>
      </c>
      <c r="R74" t="e">
        <f ca="1"/>
        <v>#N/A</v>
      </c>
      <c r="S74" t="e">
        <f ca="1"/>
        <v>#N/A</v>
      </c>
      <c r="T74" t="e">
        <f ca="1"/>
        <v>#N/A</v>
      </c>
      <c r="U74" t="e">
        <f ca="1"/>
        <v>#N/A</v>
      </c>
    </row>
    <row r="75" spans="2:21" x14ac:dyDescent="0.25">
      <c r="B75" t="e">
        <f ca="1"/>
        <v>#N/A</v>
      </c>
      <c r="C75" t="e">
        <f ca="1"/>
        <v>#N/A</v>
      </c>
      <c r="D75" t="e">
        <f ca="1"/>
        <v>#N/A</v>
      </c>
      <c r="E75" t="e">
        <f ca="1"/>
        <v>#N/A</v>
      </c>
      <c r="F75" t="e">
        <f ca="1"/>
        <v>#N/A</v>
      </c>
      <c r="G75" t="e">
        <f ca="1"/>
        <v>#N/A</v>
      </c>
      <c r="H75" t="e">
        <f ca="1"/>
        <v>#N/A</v>
      </c>
      <c r="I75" t="e">
        <f ca="1"/>
        <v>#N/A</v>
      </c>
      <c r="J75" t="e">
        <f ca="1"/>
        <v>#N/A</v>
      </c>
      <c r="K75" t="e">
        <f ca="1"/>
        <v>#N/A</v>
      </c>
      <c r="L75" t="e">
        <f ca="1"/>
        <v>#N/A</v>
      </c>
      <c r="M75" t="e">
        <f ca="1"/>
        <v>#N/A</v>
      </c>
      <c r="N75" t="e">
        <f ca="1"/>
        <v>#N/A</v>
      </c>
      <c r="O75" t="e">
        <f ca="1"/>
        <v>#N/A</v>
      </c>
      <c r="P75" t="e">
        <f ca="1"/>
        <v>#N/A</v>
      </c>
      <c r="Q75" t="e">
        <f ca="1"/>
        <v>#N/A</v>
      </c>
      <c r="R75" t="e">
        <f ca="1"/>
        <v>#N/A</v>
      </c>
      <c r="S75" t="e">
        <f ca="1"/>
        <v>#N/A</v>
      </c>
      <c r="T75" t="e">
        <f ca="1"/>
        <v>#N/A</v>
      </c>
      <c r="U75" t="e">
        <f ca="1"/>
        <v>#N/A</v>
      </c>
    </row>
    <row r="76" spans="2:21" x14ac:dyDescent="0.25">
      <c r="B76" t="e">
        <f ca="1"/>
        <v>#N/A</v>
      </c>
      <c r="C76" t="e">
        <f ca="1"/>
        <v>#N/A</v>
      </c>
      <c r="D76" t="e">
        <f ca="1"/>
        <v>#N/A</v>
      </c>
      <c r="E76" t="e">
        <f ca="1"/>
        <v>#N/A</v>
      </c>
      <c r="F76" t="e">
        <f ca="1"/>
        <v>#N/A</v>
      </c>
      <c r="G76" t="e">
        <f ca="1"/>
        <v>#N/A</v>
      </c>
      <c r="H76" t="e">
        <f ca="1"/>
        <v>#N/A</v>
      </c>
      <c r="I76" t="e">
        <f ca="1"/>
        <v>#N/A</v>
      </c>
      <c r="J76" t="e">
        <f ca="1"/>
        <v>#N/A</v>
      </c>
      <c r="K76" t="e">
        <f ca="1"/>
        <v>#N/A</v>
      </c>
      <c r="L76" t="e">
        <f ca="1"/>
        <v>#N/A</v>
      </c>
      <c r="M76" t="e">
        <f ca="1"/>
        <v>#N/A</v>
      </c>
      <c r="N76" t="e">
        <f ca="1"/>
        <v>#N/A</v>
      </c>
      <c r="O76" t="e">
        <f ca="1"/>
        <v>#N/A</v>
      </c>
      <c r="P76" t="e">
        <f ca="1"/>
        <v>#N/A</v>
      </c>
      <c r="Q76" t="e">
        <f ca="1"/>
        <v>#N/A</v>
      </c>
      <c r="R76" t="e">
        <f ca="1"/>
        <v>#N/A</v>
      </c>
      <c r="S76" t="e">
        <f ca="1"/>
        <v>#N/A</v>
      </c>
      <c r="T76" t="e">
        <f ca="1"/>
        <v>#N/A</v>
      </c>
      <c r="U76" t="e">
        <f ca="1"/>
        <v>#N/A</v>
      </c>
    </row>
    <row r="77" spans="2:21" x14ac:dyDescent="0.25">
      <c r="B77" t="e">
        <f ca="1"/>
        <v>#N/A</v>
      </c>
      <c r="C77" t="e">
        <f ca="1"/>
        <v>#N/A</v>
      </c>
      <c r="D77" t="e">
        <f ca="1"/>
        <v>#N/A</v>
      </c>
      <c r="E77" t="e">
        <f ca="1"/>
        <v>#N/A</v>
      </c>
      <c r="F77" t="e">
        <f ca="1"/>
        <v>#N/A</v>
      </c>
      <c r="G77" t="e">
        <f ca="1"/>
        <v>#N/A</v>
      </c>
      <c r="H77" t="e">
        <f ca="1"/>
        <v>#N/A</v>
      </c>
      <c r="I77" t="e">
        <f ca="1"/>
        <v>#N/A</v>
      </c>
      <c r="J77" t="e">
        <f ca="1"/>
        <v>#N/A</v>
      </c>
      <c r="K77" t="e">
        <f ca="1"/>
        <v>#N/A</v>
      </c>
      <c r="L77" t="e">
        <f ca="1"/>
        <v>#N/A</v>
      </c>
      <c r="M77" t="e">
        <f ca="1"/>
        <v>#N/A</v>
      </c>
      <c r="N77" t="e">
        <f ca="1"/>
        <v>#N/A</v>
      </c>
      <c r="O77" t="e">
        <f ca="1"/>
        <v>#N/A</v>
      </c>
      <c r="P77" t="e">
        <f ca="1"/>
        <v>#N/A</v>
      </c>
      <c r="Q77" t="e">
        <f ca="1"/>
        <v>#N/A</v>
      </c>
      <c r="R77" t="e">
        <f ca="1"/>
        <v>#N/A</v>
      </c>
      <c r="S77" t="e">
        <f ca="1"/>
        <v>#N/A</v>
      </c>
      <c r="T77" t="e">
        <f ca="1"/>
        <v>#N/A</v>
      </c>
      <c r="U77" t="e">
        <f ca="1"/>
        <v>#N/A</v>
      </c>
    </row>
    <row r="78" spans="2:21" x14ac:dyDescent="0.25">
      <c r="B78" t="e">
        <f ca="1"/>
        <v>#N/A</v>
      </c>
      <c r="C78" t="e">
        <f ca="1"/>
        <v>#N/A</v>
      </c>
      <c r="D78" t="e">
        <f ca="1"/>
        <v>#N/A</v>
      </c>
      <c r="E78" t="e">
        <f ca="1"/>
        <v>#N/A</v>
      </c>
      <c r="F78" t="e">
        <f ca="1"/>
        <v>#N/A</v>
      </c>
      <c r="G78" t="e">
        <f ca="1"/>
        <v>#N/A</v>
      </c>
      <c r="H78" t="e">
        <f ca="1"/>
        <v>#N/A</v>
      </c>
      <c r="I78" t="e">
        <f ca="1"/>
        <v>#N/A</v>
      </c>
      <c r="J78" t="e">
        <f ca="1"/>
        <v>#N/A</v>
      </c>
      <c r="K78" t="e">
        <f ca="1"/>
        <v>#N/A</v>
      </c>
      <c r="L78" t="e">
        <f ca="1"/>
        <v>#N/A</v>
      </c>
      <c r="M78" t="e">
        <f ca="1"/>
        <v>#N/A</v>
      </c>
      <c r="N78" t="e">
        <f ca="1"/>
        <v>#N/A</v>
      </c>
      <c r="O78" t="e">
        <f ca="1"/>
        <v>#N/A</v>
      </c>
      <c r="P78" t="e">
        <f ca="1"/>
        <v>#N/A</v>
      </c>
      <c r="Q78" t="e">
        <f ca="1"/>
        <v>#N/A</v>
      </c>
      <c r="R78" t="e">
        <f ca="1"/>
        <v>#N/A</v>
      </c>
      <c r="S78" t="e">
        <f ca="1"/>
        <v>#N/A</v>
      </c>
      <c r="T78" t="e">
        <f ca="1"/>
        <v>#N/A</v>
      </c>
      <c r="U78" t="e">
        <f ca="1"/>
        <v>#N/A</v>
      </c>
    </row>
    <row r="79" spans="2:21" x14ac:dyDescent="0.25">
      <c r="B79" t="e">
        <f ca="1"/>
        <v>#N/A</v>
      </c>
      <c r="C79" t="e">
        <f ca="1"/>
        <v>#N/A</v>
      </c>
      <c r="D79" t="e">
        <f ca="1"/>
        <v>#N/A</v>
      </c>
      <c r="E79" t="e">
        <f ca="1"/>
        <v>#N/A</v>
      </c>
      <c r="F79" t="e">
        <f ca="1"/>
        <v>#N/A</v>
      </c>
      <c r="G79" t="e">
        <f ca="1"/>
        <v>#N/A</v>
      </c>
      <c r="H79" t="e">
        <f ca="1"/>
        <v>#N/A</v>
      </c>
      <c r="I79" t="e">
        <f ca="1"/>
        <v>#N/A</v>
      </c>
      <c r="J79" t="e">
        <f ca="1"/>
        <v>#N/A</v>
      </c>
      <c r="K79" t="e">
        <f ca="1"/>
        <v>#N/A</v>
      </c>
      <c r="L79" t="e">
        <f ca="1"/>
        <v>#N/A</v>
      </c>
      <c r="M79" t="e">
        <f ca="1"/>
        <v>#N/A</v>
      </c>
      <c r="N79" t="e">
        <f ca="1"/>
        <v>#N/A</v>
      </c>
      <c r="O79" t="e">
        <f ca="1"/>
        <v>#N/A</v>
      </c>
      <c r="P79" t="e">
        <f ca="1"/>
        <v>#N/A</v>
      </c>
      <c r="Q79" t="e">
        <f ca="1"/>
        <v>#N/A</v>
      </c>
      <c r="R79" t="e">
        <f ca="1"/>
        <v>#N/A</v>
      </c>
      <c r="S79" t="e">
        <f ca="1"/>
        <v>#N/A</v>
      </c>
      <c r="T79" t="e">
        <f ca="1"/>
        <v>#N/A</v>
      </c>
      <c r="U79" t="e">
        <f ca="1"/>
        <v>#N/A</v>
      </c>
    </row>
    <row r="80" spans="2:21" x14ac:dyDescent="0.25">
      <c r="B80" t="e">
        <f ca="1"/>
        <v>#N/A</v>
      </c>
      <c r="C80" t="e">
        <f ca="1"/>
        <v>#N/A</v>
      </c>
      <c r="D80" t="e">
        <f ca="1"/>
        <v>#N/A</v>
      </c>
      <c r="E80" t="e">
        <f ca="1"/>
        <v>#N/A</v>
      </c>
      <c r="F80" t="e">
        <f ca="1"/>
        <v>#N/A</v>
      </c>
      <c r="G80" t="e">
        <f ca="1"/>
        <v>#N/A</v>
      </c>
      <c r="H80" t="e">
        <f ca="1"/>
        <v>#N/A</v>
      </c>
      <c r="I80" t="e">
        <f ca="1"/>
        <v>#N/A</v>
      </c>
      <c r="J80" t="e">
        <f ca="1"/>
        <v>#N/A</v>
      </c>
      <c r="K80" t="e">
        <f ca="1"/>
        <v>#N/A</v>
      </c>
      <c r="L80" t="e">
        <f ca="1"/>
        <v>#N/A</v>
      </c>
      <c r="M80" t="e">
        <f ca="1"/>
        <v>#N/A</v>
      </c>
      <c r="N80" t="e">
        <f ca="1"/>
        <v>#N/A</v>
      </c>
      <c r="O80" t="e">
        <f ca="1"/>
        <v>#N/A</v>
      </c>
      <c r="P80" t="e">
        <f ca="1"/>
        <v>#N/A</v>
      </c>
      <c r="Q80" t="e">
        <f ca="1"/>
        <v>#N/A</v>
      </c>
      <c r="R80" t="e">
        <f ca="1"/>
        <v>#N/A</v>
      </c>
      <c r="S80" t="e">
        <f ca="1"/>
        <v>#N/A</v>
      </c>
      <c r="T80" t="e">
        <f ca="1"/>
        <v>#N/A</v>
      </c>
      <c r="U80" t="e">
        <f ca="1"/>
        <v>#N/A</v>
      </c>
    </row>
    <row r="81" spans="2:21" x14ac:dyDescent="0.25">
      <c r="B81" t="e">
        <f ca="1"/>
        <v>#N/A</v>
      </c>
      <c r="C81" t="e">
        <f ca="1"/>
        <v>#N/A</v>
      </c>
      <c r="D81" t="e">
        <f ca="1"/>
        <v>#N/A</v>
      </c>
      <c r="E81" t="e">
        <f ca="1"/>
        <v>#N/A</v>
      </c>
      <c r="F81" t="e">
        <f ca="1"/>
        <v>#N/A</v>
      </c>
      <c r="G81" t="e">
        <f ca="1"/>
        <v>#N/A</v>
      </c>
      <c r="H81" t="e">
        <f ca="1"/>
        <v>#N/A</v>
      </c>
      <c r="I81" t="e">
        <f ca="1"/>
        <v>#N/A</v>
      </c>
      <c r="J81" t="e">
        <f ca="1"/>
        <v>#N/A</v>
      </c>
      <c r="K81" t="e">
        <f ca="1"/>
        <v>#N/A</v>
      </c>
      <c r="L81" t="e">
        <f ca="1"/>
        <v>#N/A</v>
      </c>
      <c r="M81" t="e">
        <f ca="1"/>
        <v>#N/A</v>
      </c>
      <c r="N81" t="e">
        <f ca="1"/>
        <v>#N/A</v>
      </c>
      <c r="O81" t="e">
        <f ca="1"/>
        <v>#N/A</v>
      </c>
      <c r="P81" t="e">
        <f ca="1"/>
        <v>#N/A</v>
      </c>
      <c r="Q81" t="e">
        <f ca="1"/>
        <v>#N/A</v>
      </c>
      <c r="R81" t="e">
        <f ca="1"/>
        <v>#N/A</v>
      </c>
      <c r="S81" t="e">
        <f ca="1"/>
        <v>#N/A</v>
      </c>
      <c r="T81" t="e">
        <f ca="1"/>
        <v>#N/A</v>
      </c>
      <c r="U81" t="e">
        <f ca="1"/>
        <v>#N/A</v>
      </c>
    </row>
    <row r="82" spans="2:21" x14ac:dyDescent="0.25">
      <c r="B82" t="e">
        <f ca="1"/>
        <v>#N/A</v>
      </c>
      <c r="C82" t="e">
        <f ca="1"/>
        <v>#N/A</v>
      </c>
      <c r="D82" t="e">
        <f ca="1"/>
        <v>#N/A</v>
      </c>
      <c r="E82" t="e">
        <f ca="1"/>
        <v>#N/A</v>
      </c>
      <c r="F82" t="e">
        <f ca="1"/>
        <v>#N/A</v>
      </c>
      <c r="G82" t="e">
        <f ca="1"/>
        <v>#N/A</v>
      </c>
      <c r="H82" t="e">
        <f ca="1"/>
        <v>#N/A</v>
      </c>
      <c r="I82" t="e">
        <f ca="1"/>
        <v>#N/A</v>
      </c>
      <c r="J82" t="e">
        <f ca="1"/>
        <v>#N/A</v>
      </c>
      <c r="K82" t="e">
        <f ca="1"/>
        <v>#N/A</v>
      </c>
      <c r="L82" t="e">
        <f ca="1"/>
        <v>#N/A</v>
      </c>
      <c r="M82" t="e">
        <f ca="1"/>
        <v>#N/A</v>
      </c>
      <c r="N82" t="e">
        <f ca="1"/>
        <v>#N/A</v>
      </c>
      <c r="O82" t="e">
        <f ca="1"/>
        <v>#N/A</v>
      </c>
      <c r="P82" t="e">
        <f ca="1"/>
        <v>#N/A</v>
      </c>
      <c r="Q82" t="e">
        <f ca="1"/>
        <v>#N/A</v>
      </c>
      <c r="R82" t="e">
        <f ca="1"/>
        <v>#N/A</v>
      </c>
      <c r="S82" t="e">
        <f ca="1"/>
        <v>#N/A</v>
      </c>
      <c r="T82" t="e">
        <f ca="1"/>
        <v>#N/A</v>
      </c>
      <c r="U82" t="e">
        <f ca="1"/>
        <v>#N/A</v>
      </c>
    </row>
    <row r="83" spans="2:21" x14ac:dyDescent="0.25">
      <c r="B83" t="e">
        <f ca="1"/>
        <v>#N/A</v>
      </c>
      <c r="C83" t="e">
        <f ca="1"/>
        <v>#N/A</v>
      </c>
      <c r="D83" t="e">
        <f ca="1"/>
        <v>#N/A</v>
      </c>
      <c r="E83" t="e">
        <f ca="1"/>
        <v>#N/A</v>
      </c>
      <c r="F83" t="e">
        <f ca="1"/>
        <v>#N/A</v>
      </c>
      <c r="G83" t="e">
        <f ca="1"/>
        <v>#N/A</v>
      </c>
      <c r="H83" t="e">
        <f ca="1"/>
        <v>#N/A</v>
      </c>
      <c r="I83" t="e">
        <f ca="1"/>
        <v>#N/A</v>
      </c>
      <c r="J83" t="e">
        <f ca="1"/>
        <v>#N/A</v>
      </c>
      <c r="K83" t="e">
        <f ca="1"/>
        <v>#N/A</v>
      </c>
      <c r="L83" t="e">
        <f ca="1"/>
        <v>#N/A</v>
      </c>
      <c r="M83" t="e">
        <f ca="1"/>
        <v>#N/A</v>
      </c>
      <c r="N83" t="e">
        <f ca="1"/>
        <v>#N/A</v>
      </c>
      <c r="O83" t="e">
        <f ca="1"/>
        <v>#N/A</v>
      </c>
      <c r="P83" t="e">
        <f ca="1"/>
        <v>#N/A</v>
      </c>
      <c r="Q83" t="e">
        <f ca="1"/>
        <v>#N/A</v>
      </c>
      <c r="R83" t="e">
        <f ca="1"/>
        <v>#N/A</v>
      </c>
      <c r="S83" t="e">
        <f ca="1"/>
        <v>#N/A</v>
      </c>
      <c r="T83" t="e">
        <f ca="1"/>
        <v>#N/A</v>
      </c>
      <c r="U83" t="e">
        <f ca="1"/>
        <v>#N/A</v>
      </c>
    </row>
    <row r="84" spans="2:21" x14ac:dyDescent="0.25">
      <c r="B84" t="e">
        <f ca="1"/>
        <v>#N/A</v>
      </c>
      <c r="C84" t="e">
        <f ca="1"/>
        <v>#N/A</v>
      </c>
      <c r="D84" t="e">
        <f ca="1"/>
        <v>#N/A</v>
      </c>
      <c r="E84" t="e">
        <f ca="1"/>
        <v>#N/A</v>
      </c>
      <c r="F84" t="e">
        <f ca="1"/>
        <v>#N/A</v>
      </c>
      <c r="G84" t="e">
        <f ca="1"/>
        <v>#N/A</v>
      </c>
      <c r="H84" t="e">
        <f ca="1"/>
        <v>#N/A</v>
      </c>
      <c r="I84" t="e">
        <f ca="1"/>
        <v>#N/A</v>
      </c>
      <c r="J84" t="e">
        <f ca="1"/>
        <v>#N/A</v>
      </c>
      <c r="K84" t="e">
        <f ca="1"/>
        <v>#N/A</v>
      </c>
      <c r="L84" t="e">
        <f ca="1"/>
        <v>#N/A</v>
      </c>
      <c r="M84" t="e">
        <f ca="1"/>
        <v>#N/A</v>
      </c>
      <c r="N84" t="e">
        <f ca="1"/>
        <v>#N/A</v>
      </c>
      <c r="O84" t="e">
        <f ca="1"/>
        <v>#N/A</v>
      </c>
      <c r="P84" t="e">
        <f ca="1"/>
        <v>#N/A</v>
      </c>
      <c r="Q84" t="e">
        <f ca="1"/>
        <v>#N/A</v>
      </c>
      <c r="R84" t="e">
        <f ca="1"/>
        <v>#N/A</v>
      </c>
      <c r="S84" t="e">
        <f ca="1"/>
        <v>#N/A</v>
      </c>
      <c r="T84" t="e">
        <f ca="1"/>
        <v>#N/A</v>
      </c>
      <c r="U84" t="e">
        <f ca="1"/>
        <v>#N/A</v>
      </c>
    </row>
    <row r="85" spans="2:21" x14ac:dyDescent="0.25">
      <c r="B85" t="e">
        <f ca="1"/>
        <v>#N/A</v>
      </c>
      <c r="C85" t="e">
        <f ca="1"/>
        <v>#N/A</v>
      </c>
      <c r="D85" t="e">
        <f ca="1"/>
        <v>#N/A</v>
      </c>
      <c r="E85" t="e">
        <f ca="1"/>
        <v>#N/A</v>
      </c>
      <c r="F85" t="e">
        <f ca="1"/>
        <v>#N/A</v>
      </c>
      <c r="G85" t="e">
        <f ca="1"/>
        <v>#N/A</v>
      </c>
      <c r="H85" t="e">
        <f ca="1"/>
        <v>#N/A</v>
      </c>
      <c r="I85" t="e">
        <f ca="1"/>
        <v>#N/A</v>
      </c>
      <c r="J85" t="e">
        <f ca="1"/>
        <v>#N/A</v>
      </c>
      <c r="K85" t="e">
        <f ca="1"/>
        <v>#N/A</v>
      </c>
      <c r="L85" t="e">
        <f ca="1"/>
        <v>#N/A</v>
      </c>
      <c r="M85" t="e">
        <f ca="1"/>
        <v>#N/A</v>
      </c>
      <c r="N85" t="e">
        <f ca="1"/>
        <v>#N/A</v>
      </c>
      <c r="O85" t="e">
        <f ca="1"/>
        <v>#N/A</v>
      </c>
      <c r="P85" t="e">
        <f ca="1"/>
        <v>#N/A</v>
      </c>
      <c r="Q85" t="e">
        <f ca="1"/>
        <v>#N/A</v>
      </c>
      <c r="R85" t="e">
        <f ca="1"/>
        <v>#N/A</v>
      </c>
      <c r="S85" t="e">
        <f ca="1"/>
        <v>#N/A</v>
      </c>
      <c r="T85" t="e">
        <f ca="1"/>
        <v>#N/A</v>
      </c>
      <c r="U85" t="e">
        <f ca="1"/>
        <v>#N/A</v>
      </c>
    </row>
    <row r="86" spans="2:21" x14ac:dyDescent="0.25">
      <c r="B86" t="e">
        <f ca="1"/>
        <v>#N/A</v>
      </c>
      <c r="C86" t="e">
        <f ca="1"/>
        <v>#N/A</v>
      </c>
      <c r="D86" t="e">
        <f ca="1"/>
        <v>#N/A</v>
      </c>
      <c r="E86" t="e">
        <f ca="1"/>
        <v>#N/A</v>
      </c>
      <c r="F86" t="e">
        <f ca="1"/>
        <v>#N/A</v>
      </c>
      <c r="G86" t="e">
        <f ca="1"/>
        <v>#N/A</v>
      </c>
      <c r="H86" t="e">
        <f ca="1"/>
        <v>#N/A</v>
      </c>
      <c r="I86" t="e">
        <f ca="1"/>
        <v>#N/A</v>
      </c>
      <c r="J86" t="e">
        <f ca="1"/>
        <v>#N/A</v>
      </c>
      <c r="K86" t="e">
        <f ca="1"/>
        <v>#N/A</v>
      </c>
      <c r="L86" t="e">
        <f ca="1"/>
        <v>#N/A</v>
      </c>
      <c r="M86" t="e">
        <f ca="1"/>
        <v>#N/A</v>
      </c>
      <c r="N86" t="e">
        <f ca="1"/>
        <v>#N/A</v>
      </c>
      <c r="O86" t="e">
        <f ca="1"/>
        <v>#N/A</v>
      </c>
      <c r="P86" t="e">
        <f ca="1"/>
        <v>#N/A</v>
      </c>
      <c r="Q86" t="e">
        <f ca="1"/>
        <v>#N/A</v>
      </c>
      <c r="R86" t="e">
        <f ca="1"/>
        <v>#N/A</v>
      </c>
      <c r="S86" t="e">
        <f ca="1"/>
        <v>#N/A</v>
      </c>
      <c r="T86" t="e">
        <f ca="1"/>
        <v>#N/A</v>
      </c>
      <c r="U86" t="e">
        <f ca="1"/>
        <v>#N/A</v>
      </c>
    </row>
    <row r="87" spans="2:21" x14ac:dyDescent="0.25">
      <c r="B87" t="e">
        <f ca="1"/>
        <v>#N/A</v>
      </c>
      <c r="C87" t="e">
        <f ca="1"/>
        <v>#N/A</v>
      </c>
      <c r="D87" t="e">
        <f ca="1"/>
        <v>#N/A</v>
      </c>
      <c r="E87" t="e">
        <f ca="1"/>
        <v>#N/A</v>
      </c>
      <c r="F87" t="e">
        <f ca="1"/>
        <v>#N/A</v>
      </c>
      <c r="G87" t="e">
        <f ca="1"/>
        <v>#N/A</v>
      </c>
      <c r="H87" t="e">
        <f ca="1"/>
        <v>#N/A</v>
      </c>
      <c r="I87" t="e">
        <f ca="1"/>
        <v>#N/A</v>
      </c>
      <c r="J87" t="e">
        <f ca="1"/>
        <v>#N/A</v>
      </c>
      <c r="K87" t="e">
        <f ca="1"/>
        <v>#N/A</v>
      </c>
      <c r="L87" t="e">
        <f ca="1"/>
        <v>#N/A</v>
      </c>
      <c r="M87" t="e">
        <f ca="1"/>
        <v>#N/A</v>
      </c>
      <c r="N87" t="e">
        <f ca="1"/>
        <v>#N/A</v>
      </c>
      <c r="O87" t="e">
        <f ca="1"/>
        <v>#N/A</v>
      </c>
      <c r="P87" t="e">
        <f ca="1"/>
        <v>#N/A</v>
      </c>
      <c r="Q87" t="e">
        <f ca="1"/>
        <v>#N/A</v>
      </c>
      <c r="R87" t="e">
        <f ca="1"/>
        <v>#N/A</v>
      </c>
      <c r="S87" t="e">
        <f ca="1"/>
        <v>#N/A</v>
      </c>
      <c r="T87" t="e">
        <f ca="1"/>
        <v>#N/A</v>
      </c>
      <c r="U87" t="e">
        <f ca="1"/>
        <v>#N/A</v>
      </c>
    </row>
    <row r="88" spans="2:21" x14ac:dyDescent="0.25">
      <c r="B88" t="e">
        <f ca="1"/>
        <v>#N/A</v>
      </c>
      <c r="C88" t="e">
        <f ca="1"/>
        <v>#N/A</v>
      </c>
      <c r="D88" t="e">
        <f ca="1"/>
        <v>#N/A</v>
      </c>
      <c r="E88" t="e">
        <f ca="1"/>
        <v>#N/A</v>
      </c>
      <c r="F88" t="e">
        <f ca="1"/>
        <v>#N/A</v>
      </c>
      <c r="G88" t="e">
        <f ca="1"/>
        <v>#N/A</v>
      </c>
      <c r="H88" t="e">
        <f ca="1"/>
        <v>#N/A</v>
      </c>
      <c r="I88" t="e">
        <f ca="1"/>
        <v>#N/A</v>
      </c>
      <c r="J88" t="e">
        <f ca="1"/>
        <v>#N/A</v>
      </c>
      <c r="K88" t="e">
        <f ca="1"/>
        <v>#N/A</v>
      </c>
      <c r="L88" t="e">
        <f ca="1"/>
        <v>#N/A</v>
      </c>
      <c r="M88" t="e">
        <f ca="1"/>
        <v>#N/A</v>
      </c>
      <c r="N88" t="e">
        <f ca="1"/>
        <v>#N/A</v>
      </c>
      <c r="O88" t="e">
        <f ca="1"/>
        <v>#N/A</v>
      </c>
      <c r="P88" t="e">
        <f ca="1"/>
        <v>#N/A</v>
      </c>
      <c r="Q88" t="e">
        <f ca="1"/>
        <v>#N/A</v>
      </c>
      <c r="R88" t="e">
        <f ca="1"/>
        <v>#N/A</v>
      </c>
      <c r="S88" t="e">
        <f ca="1"/>
        <v>#N/A</v>
      </c>
      <c r="T88" t="e">
        <f ca="1"/>
        <v>#N/A</v>
      </c>
      <c r="U88" t="e">
        <f ca="1"/>
        <v>#N/A</v>
      </c>
    </row>
    <row r="89" spans="2:21" x14ac:dyDescent="0.25">
      <c r="B89" t="e">
        <f ca="1"/>
        <v>#N/A</v>
      </c>
      <c r="C89" t="e">
        <f ca="1"/>
        <v>#N/A</v>
      </c>
      <c r="D89" t="e">
        <f ca="1"/>
        <v>#N/A</v>
      </c>
      <c r="E89" t="e">
        <f ca="1"/>
        <v>#N/A</v>
      </c>
      <c r="F89" t="e">
        <f ca="1"/>
        <v>#N/A</v>
      </c>
      <c r="G89" t="e">
        <f ca="1"/>
        <v>#N/A</v>
      </c>
      <c r="H89" t="e">
        <f ca="1"/>
        <v>#N/A</v>
      </c>
      <c r="I89" t="e">
        <f ca="1"/>
        <v>#N/A</v>
      </c>
      <c r="J89" t="e">
        <f ca="1"/>
        <v>#N/A</v>
      </c>
      <c r="K89" t="e">
        <f ca="1"/>
        <v>#N/A</v>
      </c>
      <c r="L89" t="e">
        <f ca="1"/>
        <v>#N/A</v>
      </c>
      <c r="M89" t="e">
        <f ca="1"/>
        <v>#N/A</v>
      </c>
      <c r="N89" t="e">
        <f ca="1"/>
        <v>#N/A</v>
      </c>
      <c r="O89" t="e">
        <f ca="1"/>
        <v>#N/A</v>
      </c>
      <c r="P89" t="e">
        <f ca="1"/>
        <v>#N/A</v>
      </c>
      <c r="Q89" t="e">
        <f ca="1"/>
        <v>#N/A</v>
      </c>
      <c r="R89" t="e">
        <f ca="1"/>
        <v>#N/A</v>
      </c>
      <c r="S89" t="e">
        <f ca="1"/>
        <v>#N/A</v>
      </c>
      <c r="T89" t="e">
        <f ca="1"/>
        <v>#N/A</v>
      </c>
      <c r="U89" t="e">
        <f ca="1"/>
        <v>#N/A</v>
      </c>
    </row>
    <row r="90" spans="2:21" x14ac:dyDescent="0.25">
      <c r="B90" t="e">
        <f ca="1"/>
        <v>#N/A</v>
      </c>
      <c r="C90" t="e">
        <f ca="1"/>
        <v>#N/A</v>
      </c>
      <c r="D90" t="e">
        <f ca="1"/>
        <v>#N/A</v>
      </c>
      <c r="E90" t="e">
        <f ca="1"/>
        <v>#N/A</v>
      </c>
      <c r="F90" t="e">
        <f ca="1"/>
        <v>#N/A</v>
      </c>
      <c r="G90" t="e">
        <f ca="1"/>
        <v>#N/A</v>
      </c>
      <c r="H90" t="e">
        <f ca="1"/>
        <v>#N/A</v>
      </c>
      <c r="I90" t="e">
        <f ca="1"/>
        <v>#N/A</v>
      </c>
      <c r="J90" t="e">
        <f ca="1"/>
        <v>#N/A</v>
      </c>
      <c r="K90" t="e">
        <f ca="1"/>
        <v>#N/A</v>
      </c>
      <c r="L90" t="e">
        <f ca="1"/>
        <v>#N/A</v>
      </c>
      <c r="M90" t="e">
        <f ca="1"/>
        <v>#N/A</v>
      </c>
      <c r="N90" t="e">
        <f ca="1"/>
        <v>#N/A</v>
      </c>
      <c r="O90" t="e">
        <f ca="1"/>
        <v>#N/A</v>
      </c>
      <c r="P90" t="e">
        <f ca="1"/>
        <v>#N/A</v>
      </c>
      <c r="Q90" t="e">
        <f ca="1"/>
        <v>#N/A</v>
      </c>
      <c r="R90" t="e">
        <f ca="1"/>
        <v>#N/A</v>
      </c>
      <c r="S90" t="e">
        <f ca="1"/>
        <v>#N/A</v>
      </c>
      <c r="T90" t="e">
        <f ca="1"/>
        <v>#N/A</v>
      </c>
      <c r="U90" t="e">
        <f ca="1"/>
        <v>#N/A</v>
      </c>
    </row>
    <row r="91" spans="2:21" x14ac:dyDescent="0.25">
      <c r="B91" t="e">
        <f ca="1"/>
        <v>#N/A</v>
      </c>
      <c r="C91" t="e">
        <f ca="1"/>
        <v>#N/A</v>
      </c>
      <c r="D91" t="e">
        <f ca="1"/>
        <v>#N/A</v>
      </c>
      <c r="E91" t="e">
        <f ca="1"/>
        <v>#N/A</v>
      </c>
      <c r="F91" t="e">
        <f ca="1"/>
        <v>#N/A</v>
      </c>
      <c r="G91" t="e">
        <f ca="1"/>
        <v>#N/A</v>
      </c>
      <c r="H91" t="e">
        <f ca="1"/>
        <v>#N/A</v>
      </c>
      <c r="I91" t="e">
        <f ca="1"/>
        <v>#N/A</v>
      </c>
      <c r="J91" t="e">
        <f ca="1"/>
        <v>#N/A</v>
      </c>
      <c r="K91" t="e">
        <f ca="1"/>
        <v>#N/A</v>
      </c>
      <c r="L91" t="e">
        <f ca="1"/>
        <v>#N/A</v>
      </c>
      <c r="M91" t="e">
        <f ca="1"/>
        <v>#N/A</v>
      </c>
      <c r="N91" t="e">
        <f ca="1"/>
        <v>#N/A</v>
      </c>
      <c r="O91" t="e">
        <f ca="1"/>
        <v>#N/A</v>
      </c>
      <c r="P91" t="e">
        <f ca="1"/>
        <v>#N/A</v>
      </c>
      <c r="Q91" t="e">
        <f ca="1"/>
        <v>#N/A</v>
      </c>
      <c r="R91" t="e">
        <f ca="1"/>
        <v>#N/A</v>
      </c>
      <c r="S91" t="e">
        <f ca="1"/>
        <v>#N/A</v>
      </c>
      <c r="T91" t="e">
        <f ca="1"/>
        <v>#N/A</v>
      </c>
      <c r="U91" t="e">
        <f ca="1"/>
        <v>#N/A</v>
      </c>
    </row>
    <row r="92" spans="2:21" x14ac:dyDescent="0.25">
      <c r="B92" t="e">
        <f ca="1"/>
        <v>#N/A</v>
      </c>
      <c r="C92" t="e">
        <f ca="1"/>
        <v>#N/A</v>
      </c>
      <c r="D92" t="e">
        <f ca="1"/>
        <v>#N/A</v>
      </c>
      <c r="E92" t="e">
        <f ca="1"/>
        <v>#N/A</v>
      </c>
      <c r="F92" t="e">
        <f ca="1"/>
        <v>#N/A</v>
      </c>
      <c r="G92" t="e">
        <f ca="1"/>
        <v>#N/A</v>
      </c>
      <c r="H92" t="e">
        <f ca="1"/>
        <v>#N/A</v>
      </c>
      <c r="I92" t="e">
        <f ca="1"/>
        <v>#N/A</v>
      </c>
      <c r="J92" t="e">
        <f ca="1"/>
        <v>#N/A</v>
      </c>
      <c r="K92" t="e">
        <f ca="1"/>
        <v>#N/A</v>
      </c>
      <c r="L92" t="e">
        <f ca="1"/>
        <v>#N/A</v>
      </c>
      <c r="M92" t="e">
        <f ca="1"/>
        <v>#N/A</v>
      </c>
      <c r="N92" t="e">
        <f ca="1"/>
        <v>#N/A</v>
      </c>
      <c r="O92" t="e">
        <f ca="1"/>
        <v>#N/A</v>
      </c>
      <c r="P92" t="e">
        <f ca="1"/>
        <v>#N/A</v>
      </c>
      <c r="Q92" t="e">
        <f ca="1"/>
        <v>#N/A</v>
      </c>
      <c r="R92" t="e">
        <f ca="1"/>
        <v>#N/A</v>
      </c>
      <c r="S92" t="e">
        <f ca="1"/>
        <v>#N/A</v>
      </c>
      <c r="T92" t="e">
        <f ca="1"/>
        <v>#N/A</v>
      </c>
      <c r="U92" t="e">
        <f ca="1"/>
        <v>#N/A</v>
      </c>
    </row>
    <row r="93" spans="2:21" x14ac:dyDescent="0.25">
      <c r="B93" t="e">
        <f ca="1"/>
        <v>#N/A</v>
      </c>
      <c r="C93" t="e">
        <f ca="1"/>
        <v>#N/A</v>
      </c>
      <c r="D93" t="e">
        <f ca="1"/>
        <v>#N/A</v>
      </c>
      <c r="E93" t="e">
        <f ca="1"/>
        <v>#N/A</v>
      </c>
      <c r="F93" t="e">
        <f ca="1"/>
        <v>#N/A</v>
      </c>
      <c r="G93" t="e">
        <f ca="1"/>
        <v>#N/A</v>
      </c>
      <c r="H93" t="e">
        <f ca="1"/>
        <v>#N/A</v>
      </c>
      <c r="I93" t="e">
        <f ca="1"/>
        <v>#N/A</v>
      </c>
      <c r="J93" t="e">
        <f ca="1"/>
        <v>#N/A</v>
      </c>
      <c r="K93" t="e">
        <f ca="1"/>
        <v>#N/A</v>
      </c>
      <c r="L93" t="e">
        <f ca="1"/>
        <v>#N/A</v>
      </c>
      <c r="M93" t="e">
        <f ca="1"/>
        <v>#N/A</v>
      </c>
      <c r="N93" t="e">
        <f ca="1"/>
        <v>#N/A</v>
      </c>
      <c r="O93" t="e">
        <f ca="1"/>
        <v>#N/A</v>
      </c>
      <c r="P93" t="e">
        <f ca="1"/>
        <v>#N/A</v>
      </c>
      <c r="Q93" t="e">
        <f ca="1"/>
        <v>#N/A</v>
      </c>
      <c r="R93" t="e">
        <f ca="1"/>
        <v>#N/A</v>
      </c>
      <c r="S93" t="e">
        <f ca="1"/>
        <v>#N/A</v>
      </c>
      <c r="T93" t="e">
        <f ca="1"/>
        <v>#N/A</v>
      </c>
      <c r="U93" t="e">
        <f ca="1"/>
        <v>#N/A</v>
      </c>
    </row>
    <row r="94" spans="2:21" x14ac:dyDescent="0.25">
      <c r="B94" t="e">
        <f ca="1"/>
        <v>#N/A</v>
      </c>
      <c r="C94" t="e">
        <f ca="1"/>
        <v>#N/A</v>
      </c>
      <c r="D94" t="e">
        <f ca="1"/>
        <v>#N/A</v>
      </c>
      <c r="E94" t="e">
        <f ca="1"/>
        <v>#N/A</v>
      </c>
      <c r="F94" t="e">
        <f ca="1"/>
        <v>#N/A</v>
      </c>
      <c r="G94" t="e">
        <f ca="1"/>
        <v>#N/A</v>
      </c>
      <c r="H94" t="e">
        <f ca="1"/>
        <v>#N/A</v>
      </c>
      <c r="I94" t="e">
        <f ca="1"/>
        <v>#N/A</v>
      </c>
      <c r="J94" t="e">
        <f ca="1"/>
        <v>#N/A</v>
      </c>
      <c r="K94" t="e">
        <f ca="1"/>
        <v>#N/A</v>
      </c>
      <c r="L94" t="e">
        <f ca="1"/>
        <v>#N/A</v>
      </c>
      <c r="M94" t="e">
        <f ca="1"/>
        <v>#N/A</v>
      </c>
      <c r="N94" t="e">
        <f ca="1"/>
        <v>#N/A</v>
      </c>
      <c r="O94" t="e">
        <f ca="1"/>
        <v>#N/A</v>
      </c>
      <c r="P94" t="e">
        <f ca="1"/>
        <v>#N/A</v>
      </c>
      <c r="Q94" t="e">
        <f ca="1"/>
        <v>#N/A</v>
      </c>
      <c r="R94" t="e">
        <f ca="1"/>
        <v>#N/A</v>
      </c>
      <c r="S94" t="e">
        <f ca="1"/>
        <v>#N/A</v>
      </c>
      <c r="T94" t="e">
        <f ca="1"/>
        <v>#N/A</v>
      </c>
      <c r="U94" t="e">
        <f ca="1"/>
        <v>#N/A</v>
      </c>
    </row>
    <row r="95" spans="2:21" x14ac:dyDescent="0.25">
      <c r="B95" t="e">
        <f ca="1"/>
        <v>#N/A</v>
      </c>
      <c r="C95" t="e">
        <f ca="1"/>
        <v>#N/A</v>
      </c>
      <c r="D95" t="e">
        <f ca="1"/>
        <v>#N/A</v>
      </c>
      <c r="E95" t="e">
        <f ca="1"/>
        <v>#N/A</v>
      </c>
      <c r="F95" t="e">
        <f ca="1"/>
        <v>#N/A</v>
      </c>
      <c r="G95" t="e">
        <f ca="1"/>
        <v>#N/A</v>
      </c>
      <c r="H95" t="e">
        <f ca="1"/>
        <v>#N/A</v>
      </c>
      <c r="I95" t="e">
        <f ca="1"/>
        <v>#N/A</v>
      </c>
      <c r="J95" t="e">
        <f ca="1"/>
        <v>#N/A</v>
      </c>
      <c r="K95" t="e">
        <f ca="1"/>
        <v>#N/A</v>
      </c>
      <c r="L95" t="e">
        <f ca="1"/>
        <v>#N/A</v>
      </c>
      <c r="M95" t="e">
        <f ca="1"/>
        <v>#N/A</v>
      </c>
      <c r="N95" t="e">
        <f ca="1"/>
        <v>#N/A</v>
      </c>
      <c r="O95" t="e">
        <f ca="1"/>
        <v>#N/A</v>
      </c>
      <c r="P95" t="e">
        <f ca="1"/>
        <v>#N/A</v>
      </c>
      <c r="Q95" t="e">
        <f ca="1"/>
        <v>#N/A</v>
      </c>
      <c r="R95" t="e">
        <f ca="1"/>
        <v>#N/A</v>
      </c>
      <c r="S95" t="e">
        <f ca="1"/>
        <v>#N/A</v>
      </c>
      <c r="T95" t="e">
        <f ca="1"/>
        <v>#N/A</v>
      </c>
      <c r="U95" t="e">
        <f ca="1"/>
        <v>#N/A</v>
      </c>
    </row>
    <row r="96" spans="2:21" x14ac:dyDescent="0.25">
      <c r="B96" t="e">
        <f ca="1"/>
        <v>#N/A</v>
      </c>
      <c r="C96" t="e">
        <f ca="1"/>
        <v>#N/A</v>
      </c>
      <c r="D96" t="e">
        <f ca="1"/>
        <v>#N/A</v>
      </c>
      <c r="E96" t="e">
        <f ca="1"/>
        <v>#N/A</v>
      </c>
      <c r="F96" t="e">
        <f ca="1"/>
        <v>#N/A</v>
      </c>
      <c r="G96" t="e">
        <f ca="1"/>
        <v>#N/A</v>
      </c>
      <c r="H96" t="e">
        <f ca="1"/>
        <v>#N/A</v>
      </c>
      <c r="I96" t="e">
        <f ca="1"/>
        <v>#N/A</v>
      </c>
      <c r="J96" t="e">
        <f ca="1"/>
        <v>#N/A</v>
      </c>
      <c r="K96" t="e">
        <f ca="1"/>
        <v>#N/A</v>
      </c>
      <c r="L96" t="e">
        <f ca="1"/>
        <v>#N/A</v>
      </c>
      <c r="M96" t="e">
        <f ca="1"/>
        <v>#N/A</v>
      </c>
      <c r="N96" t="e">
        <f ca="1"/>
        <v>#N/A</v>
      </c>
      <c r="O96" t="e">
        <f ca="1"/>
        <v>#N/A</v>
      </c>
      <c r="P96" t="e">
        <f ca="1"/>
        <v>#N/A</v>
      </c>
      <c r="Q96" t="e">
        <f ca="1"/>
        <v>#N/A</v>
      </c>
      <c r="R96" t="e">
        <f ca="1"/>
        <v>#N/A</v>
      </c>
      <c r="S96" t="e">
        <f ca="1"/>
        <v>#N/A</v>
      </c>
      <c r="T96" t="e">
        <f ca="1"/>
        <v>#N/A</v>
      </c>
      <c r="U96" t="e">
        <f ca="1"/>
        <v>#N/A</v>
      </c>
    </row>
    <row r="97" spans="2:21" x14ac:dyDescent="0.25">
      <c r="B97" t="e">
        <f ca="1"/>
        <v>#N/A</v>
      </c>
      <c r="C97" t="e">
        <f ca="1"/>
        <v>#N/A</v>
      </c>
      <c r="D97" t="e">
        <f ca="1"/>
        <v>#N/A</v>
      </c>
      <c r="E97" t="e">
        <f ca="1"/>
        <v>#N/A</v>
      </c>
      <c r="F97" t="e">
        <f ca="1"/>
        <v>#N/A</v>
      </c>
      <c r="G97" t="e">
        <f ca="1"/>
        <v>#N/A</v>
      </c>
      <c r="H97" t="e">
        <f ca="1"/>
        <v>#N/A</v>
      </c>
      <c r="I97" t="e">
        <f ca="1"/>
        <v>#N/A</v>
      </c>
      <c r="J97" t="e">
        <f ca="1"/>
        <v>#N/A</v>
      </c>
      <c r="K97" t="e">
        <f ca="1"/>
        <v>#N/A</v>
      </c>
      <c r="L97" t="e">
        <f ca="1"/>
        <v>#N/A</v>
      </c>
      <c r="M97" t="e">
        <f ca="1"/>
        <v>#N/A</v>
      </c>
      <c r="N97" t="e">
        <f ca="1"/>
        <v>#N/A</v>
      </c>
      <c r="O97" t="e">
        <f ca="1"/>
        <v>#N/A</v>
      </c>
      <c r="P97" t="e">
        <f ca="1"/>
        <v>#N/A</v>
      </c>
      <c r="Q97" t="e">
        <f ca="1"/>
        <v>#N/A</v>
      </c>
      <c r="R97" t="e">
        <f ca="1"/>
        <v>#N/A</v>
      </c>
      <c r="S97" t="e">
        <f ca="1"/>
        <v>#N/A</v>
      </c>
      <c r="T97" t="e">
        <f ca="1"/>
        <v>#N/A</v>
      </c>
      <c r="U97" t="e">
        <f ca="1"/>
        <v>#N/A</v>
      </c>
    </row>
    <row r="98" spans="2:21" x14ac:dyDescent="0.25">
      <c r="B98" t="e">
        <f ca="1"/>
        <v>#N/A</v>
      </c>
      <c r="C98" t="e">
        <f ca="1"/>
        <v>#N/A</v>
      </c>
      <c r="D98" t="e">
        <f ca="1"/>
        <v>#N/A</v>
      </c>
      <c r="E98" t="e">
        <f ca="1"/>
        <v>#N/A</v>
      </c>
      <c r="F98" t="e">
        <f ca="1"/>
        <v>#N/A</v>
      </c>
      <c r="G98" t="e">
        <f ca="1"/>
        <v>#N/A</v>
      </c>
      <c r="H98" t="e">
        <f ca="1"/>
        <v>#N/A</v>
      </c>
      <c r="I98" t="e">
        <f ca="1"/>
        <v>#N/A</v>
      </c>
      <c r="J98" t="e">
        <f ca="1"/>
        <v>#N/A</v>
      </c>
      <c r="K98" t="e">
        <f ca="1"/>
        <v>#N/A</v>
      </c>
      <c r="L98" t="e">
        <f ca="1"/>
        <v>#N/A</v>
      </c>
      <c r="M98" t="e">
        <f ca="1"/>
        <v>#N/A</v>
      </c>
      <c r="N98" t="e">
        <f ca="1"/>
        <v>#N/A</v>
      </c>
      <c r="O98" t="e">
        <f ca="1"/>
        <v>#N/A</v>
      </c>
      <c r="P98" t="e">
        <f ca="1"/>
        <v>#N/A</v>
      </c>
      <c r="Q98" t="e">
        <f ca="1"/>
        <v>#N/A</v>
      </c>
      <c r="R98" t="e">
        <f ca="1"/>
        <v>#N/A</v>
      </c>
      <c r="S98" t="e">
        <f ca="1"/>
        <v>#N/A</v>
      </c>
      <c r="T98" t="e">
        <f ca="1"/>
        <v>#N/A</v>
      </c>
      <c r="U98" t="e">
        <f ca="1"/>
        <v>#N/A</v>
      </c>
    </row>
    <row r="99" spans="2:21" x14ac:dyDescent="0.25">
      <c r="B99" t="e">
        <f ca="1"/>
        <v>#N/A</v>
      </c>
      <c r="C99" t="e">
        <f ca="1"/>
        <v>#N/A</v>
      </c>
      <c r="D99" t="e">
        <f ca="1"/>
        <v>#N/A</v>
      </c>
      <c r="E99" t="e">
        <f ca="1"/>
        <v>#N/A</v>
      </c>
      <c r="F99" t="e">
        <f ca="1"/>
        <v>#N/A</v>
      </c>
      <c r="G99" t="e">
        <f ca="1"/>
        <v>#N/A</v>
      </c>
      <c r="H99" t="e">
        <f ca="1"/>
        <v>#N/A</v>
      </c>
      <c r="I99" t="e">
        <f ca="1"/>
        <v>#N/A</v>
      </c>
      <c r="J99" t="e">
        <f ca="1"/>
        <v>#N/A</v>
      </c>
      <c r="K99" t="e">
        <f ca="1"/>
        <v>#N/A</v>
      </c>
      <c r="L99" t="e">
        <f ca="1"/>
        <v>#N/A</v>
      </c>
      <c r="M99" t="e">
        <f ca="1"/>
        <v>#N/A</v>
      </c>
      <c r="N99" t="e">
        <f ca="1"/>
        <v>#N/A</v>
      </c>
      <c r="O99" t="e">
        <f ca="1"/>
        <v>#N/A</v>
      </c>
      <c r="P99" t="e">
        <f ca="1"/>
        <v>#N/A</v>
      </c>
      <c r="Q99" t="e">
        <f ca="1"/>
        <v>#N/A</v>
      </c>
      <c r="R99" t="e">
        <f ca="1"/>
        <v>#N/A</v>
      </c>
      <c r="S99" t="e">
        <f ca="1"/>
        <v>#N/A</v>
      </c>
      <c r="T99" t="e">
        <f ca="1"/>
        <v>#N/A</v>
      </c>
      <c r="U99" t="e">
        <f ca="1"/>
        <v>#N/A</v>
      </c>
    </row>
    <row r="100" spans="2:21" x14ac:dyDescent="0.25">
      <c r="B100" t="e">
        <f ca="1"/>
        <v>#N/A</v>
      </c>
      <c r="C100" t="e">
        <f ca="1"/>
        <v>#N/A</v>
      </c>
      <c r="D100" t="e">
        <f ca="1"/>
        <v>#N/A</v>
      </c>
      <c r="E100" t="e">
        <f ca="1"/>
        <v>#N/A</v>
      </c>
      <c r="F100" t="e">
        <f ca="1"/>
        <v>#N/A</v>
      </c>
      <c r="G100" t="e">
        <f ca="1"/>
        <v>#N/A</v>
      </c>
      <c r="H100" t="e">
        <f ca="1"/>
        <v>#N/A</v>
      </c>
      <c r="I100" t="e">
        <f ca="1"/>
        <v>#N/A</v>
      </c>
      <c r="J100" t="e">
        <f ca="1"/>
        <v>#N/A</v>
      </c>
      <c r="K100" t="e">
        <f ca="1"/>
        <v>#N/A</v>
      </c>
      <c r="L100" t="e">
        <f ca="1"/>
        <v>#N/A</v>
      </c>
      <c r="M100" t="e">
        <f ca="1"/>
        <v>#N/A</v>
      </c>
      <c r="N100" t="e">
        <f ca="1"/>
        <v>#N/A</v>
      </c>
      <c r="O100" t="e">
        <f ca="1"/>
        <v>#N/A</v>
      </c>
      <c r="P100" t="e">
        <f ca="1"/>
        <v>#N/A</v>
      </c>
      <c r="Q100" t="e">
        <f ca="1"/>
        <v>#N/A</v>
      </c>
      <c r="R100" t="e">
        <f ca="1"/>
        <v>#N/A</v>
      </c>
      <c r="S100" t="e">
        <f ca="1"/>
        <v>#N/A</v>
      </c>
      <c r="T100" t="e">
        <f ca="1"/>
        <v>#N/A</v>
      </c>
      <c r="U100" t="e">
        <f ca="1"/>
        <v>#N/A</v>
      </c>
    </row>
    <row r="101" spans="2:21" x14ac:dyDescent="0.25">
      <c r="B101" t="e">
        <f ca="1"/>
        <v>#N/A</v>
      </c>
      <c r="C101" t="e">
        <f ca="1"/>
        <v>#N/A</v>
      </c>
      <c r="D101" t="e">
        <f ca="1"/>
        <v>#N/A</v>
      </c>
      <c r="E101" t="e">
        <f ca="1"/>
        <v>#N/A</v>
      </c>
      <c r="F101" t="e">
        <f ca="1"/>
        <v>#N/A</v>
      </c>
      <c r="G101" t="e">
        <f ca="1"/>
        <v>#N/A</v>
      </c>
      <c r="H101" t="e">
        <f ca="1"/>
        <v>#N/A</v>
      </c>
      <c r="I101" t="e">
        <f ca="1"/>
        <v>#N/A</v>
      </c>
      <c r="J101" t="e">
        <f ca="1"/>
        <v>#N/A</v>
      </c>
      <c r="K101" t="e">
        <f ca="1"/>
        <v>#N/A</v>
      </c>
      <c r="L101" t="e">
        <f ca="1"/>
        <v>#N/A</v>
      </c>
      <c r="M101" t="e">
        <f ca="1"/>
        <v>#N/A</v>
      </c>
      <c r="N101" t="e">
        <f ca="1"/>
        <v>#N/A</v>
      </c>
      <c r="O101" t="e">
        <f ca="1"/>
        <v>#N/A</v>
      </c>
      <c r="P101" t="e">
        <f ca="1"/>
        <v>#N/A</v>
      </c>
      <c r="Q101" t="e">
        <f ca="1"/>
        <v>#N/A</v>
      </c>
      <c r="R101" t="e">
        <f ca="1"/>
        <v>#N/A</v>
      </c>
      <c r="S101" t="e">
        <f ca="1"/>
        <v>#N/A</v>
      </c>
      <c r="T101" t="e">
        <f ca="1"/>
        <v>#N/A</v>
      </c>
      <c r="U101" t="e">
        <f ca="1"/>
        <v>#N/A</v>
      </c>
    </row>
    <row r="102" spans="2:21" x14ac:dyDescent="0.25">
      <c r="B102" t="e">
        <f ca="1"/>
        <v>#N/A</v>
      </c>
      <c r="C102" t="e">
        <f ca="1"/>
        <v>#N/A</v>
      </c>
      <c r="D102" t="e">
        <f ca="1"/>
        <v>#N/A</v>
      </c>
      <c r="E102" t="e">
        <f ca="1"/>
        <v>#N/A</v>
      </c>
      <c r="F102" t="e">
        <f ca="1"/>
        <v>#N/A</v>
      </c>
      <c r="G102" t="e">
        <f ca="1"/>
        <v>#N/A</v>
      </c>
      <c r="H102" t="e">
        <f ca="1"/>
        <v>#N/A</v>
      </c>
      <c r="I102" t="e">
        <f ca="1"/>
        <v>#N/A</v>
      </c>
      <c r="J102" t="e">
        <f ca="1"/>
        <v>#N/A</v>
      </c>
      <c r="K102" t="e">
        <f ca="1"/>
        <v>#N/A</v>
      </c>
      <c r="L102" t="e">
        <f ca="1"/>
        <v>#N/A</v>
      </c>
      <c r="M102" t="e">
        <f ca="1"/>
        <v>#N/A</v>
      </c>
      <c r="N102" t="e">
        <f ca="1"/>
        <v>#N/A</v>
      </c>
      <c r="O102" t="e">
        <f ca="1"/>
        <v>#N/A</v>
      </c>
      <c r="P102" t="e">
        <f ca="1"/>
        <v>#N/A</v>
      </c>
      <c r="Q102" t="e">
        <f ca="1"/>
        <v>#N/A</v>
      </c>
      <c r="R102" t="e">
        <f ca="1"/>
        <v>#N/A</v>
      </c>
      <c r="S102" t="e">
        <f ca="1"/>
        <v>#N/A</v>
      </c>
      <c r="T102" t="e">
        <f ca="1"/>
        <v>#N/A</v>
      </c>
      <c r="U102" t="e">
        <f ca="1"/>
        <v>#N/A</v>
      </c>
    </row>
    <row r="103" spans="2:21" x14ac:dyDescent="0.25">
      <c r="B103" t="e">
        <f ca="1"/>
        <v>#N/A</v>
      </c>
      <c r="C103" t="e">
        <f ca="1"/>
        <v>#N/A</v>
      </c>
      <c r="D103" t="e">
        <f ca="1"/>
        <v>#N/A</v>
      </c>
      <c r="E103" t="e">
        <f ca="1"/>
        <v>#N/A</v>
      </c>
      <c r="F103" t="e">
        <f ca="1"/>
        <v>#N/A</v>
      </c>
      <c r="G103" t="e">
        <f ca="1"/>
        <v>#N/A</v>
      </c>
      <c r="H103" t="e">
        <f ca="1"/>
        <v>#N/A</v>
      </c>
      <c r="I103" t="e">
        <f ca="1"/>
        <v>#N/A</v>
      </c>
      <c r="J103" t="e">
        <f ca="1"/>
        <v>#N/A</v>
      </c>
      <c r="K103" t="e">
        <f ca="1"/>
        <v>#N/A</v>
      </c>
      <c r="L103" t="e">
        <f ca="1"/>
        <v>#N/A</v>
      </c>
      <c r="M103" t="e">
        <f ca="1"/>
        <v>#N/A</v>
      </c>
      <c r="N103" t="e">
        <f ca="1"/>
        <v>#N/A</v>
      </c>
      <c r="O103" t="e">
        <f ca="1"/>
        <v>#N/A</v>
      </c>
      <c r="P103" t="e">
        <f ca="1"/>
        <v>#N/A</v>
      </c>
      <c r="Q103" t="e">
        <f ca="1"/>
        <v>#N/A</v>
      </c>
      <c r="R103" t="e">
        <f ca="1"/>
        <v>#N/A</v>
      </c>
      <c r="S103" t="e">
        <f ca="1"/>
        <v>#N/A</v>
      </c>
      <c r="T103" t="e">
        <f ca="1"/>
        <v>#N/A</v>
      </c>
      <c r="U103" t="e">
        <f ca="1"/>
        <v>#N/A</v>
      </c>
    </row>
    <row r="104" spans="2:21" x14ac:dyDescent="0.25">
      <c r="B104" t="e">
        <f ca="1"/>
        <v>#N/A</v>
      </c>
      <c r="C104" t="e">
        <f ca="1"/>
        <v>#N/A</v>
      </c>
      <c r="D104" t="e">
        <f ca="1"/>
        <v>#N/A</v>
      </c>
      <c r="E104" t="e">
        <f ca="1"/>
        <v>#N/A</v>
      </c>
      <c r="F104" t="e">
        <f ca="1"/>
        <v>#N/A</v>
      </c>
      <c r="G104" t="e">
        <f ca="1"/>
        <v>#N/A</v>
      </c>
      <c r="H104" t="e">
        <f ca="1"/>
        <v>#N/A</v>
      </c>
      <c r="I104" t="e">
        <f ca="1"/>
        <v>#N/A</v>
      </c>
      <c r="J104" t="e">
        <f ca="1"/>
        <v>#N/A</v>
      </c>
      <c r="K104" t="e">
        <f ca="1"/>
        <v>#N/A</v>
      </c>
      <c r="L104" t="e">
        <f ca="1"/>
        <v>#N/A</v>
      </c>
      <c r="M104" t="e">
        <f ca="1"/>
        <v>#N/A</v>
      </c>
      <c r="N104" t="e">
        <f ca="1"/>
        <v>#N/A</v>
      </c>
      <c r="O104" t="e">
        <f ca="1"/>
        <v>#N/A</v>
      </c>
      <c r="P104" t="e">
        <f ca="1"/>
        <v>#N/A</v>
      </c>
      <c r="Q104" t="e">
        <f ca="1"/>
        <v>#N/A</v>
      </c>
      <c r="R104" t="e">
        <f ca="1"/>
        <v>#N/A</v>
      </c>
      <c r="S104" t="e">
        <f ca="1"/>
        <v>#N/A</v>
      </c>
      <c r="T104" t="e">
        <f ca="1"/>
        <v>#N/A</v>
      </c>
      <c r="U104" t="e">
        <f ca="1"/>
        <v>#N/A</v>
      </c>
    </row>
    <row r="105" spans="2:21" x14ac:dyDescent="0.25">
      <c r="B105" t="e">
        <f ca="1"/>
        <v>#N/A</v>
      </c>
      <c r="C105" t="e">
        <f ca="1"/>
        <v>#N/A</v>
      </c>
      <c r="D105" t="e">
        <f ca="1"/>
        <v>#N/A</v>
      </c>
      <c r="E105" t="e">
        <f ca="1"/>
        <v>#N/A</v>
      </c>
      <c r="F105" t="e">
        <f ca="1"/>
        <v>#N/A</v>
      </c>
      <c r="G105" t="e">
        <f ca="1"/>
        <v>#N/A</v>
      </c>
      <c r="H105" t="e">
        <f ca="1"/>
        <v>#N/A</v>
      </c>
      <c r="I105" t="e">
        <f ca="1"/>
        <v>#N/A</v>
      </c>
      <c r="J105" t="e">
        <f ca="1"/>
        <v>#N/A</v>
      </c>
      <c r="K105" t="e">
        <f ca="1"/>
        <v>#N/A</v>
      </c>
      <c r="L105" t="e">
        <f ca="1"/>
        <v>#N/A</v>
      </c>
      <c r="M105" t="e">
        <f ca="1"/>
        <v>#N/A</v>
      </c>
      <c r="N105" t="e">
        <f ca="1"/>
        <v>#N/A</v>
      </c>
      <c r="O105" t="e">
        <f ca="1"/>
        <v>#N/A</v>
      </c>
      <c r="P105" t="e">
        <f ca="1"/>
        <v>#N/A</v>
      </c>
      <c r="Q105" t="e">
        <f ca="1"/>
        <v>#N/A</v>
      </c>
      <c r="R105" t="e">
        <f ca="1"/>
        <v>#N/A</v>
      </c>
      <c r="S105" t="e">
        <f ca="1"/>
        <v>#N/A</v>
      </c>
      <c r="T105" t="e">
        <f ca="1"/>
        <v>#N/A</v>
      </c>
      <c r="U105" t="e">
        <f ca="1"/>
        <v>#N/A</v>
      </c>
    </row>
    <row r="106" spans="2:21" x14ac:dyDescent="0.25">
      <c r="B106" t="e">
        <f ca="1"/>
        <v>#N/A</v>
      </c>
      <c r="C106" t="e">
        <f ca="1"/>
        <v>#N/A</v>
      </c>
      <c r="D106" t="e">
        <f ca="1"/>
        <v>#N/A</v>
      </c>
      <c r="E106" t="e">
        <f ca="1"/>
        <v>#N/A</v>
      </c>
      <c r="F106" t="e">
        <f ca="1"/>
        <v>#N/A</v>
      </c>
      <c r="G106" t="e">
        <f ca="1"/>
        <v>#N/A</v>
      </c>
      <c r="H106" t="e">
        <f ca="1"/>
        <v>#N/A</v>
      </c>
      <c r="I106" t="e">
        <f ca="1"/>
        <v>#N/A</v>
      </c>
      <c r="J106" t="e">
        <f ca="1"/>
        <v>#N/A</v>
      </c>
      <c r="K106" t="e">
        <f ca="1"/>
        <v>#N/A</v>
      </c>
      <c r="L106" t="e">
        <f ca="1"/>
        <v>#N/A</v>
      </c>
      <c r="M106" t="e">
        <f ca="1"/>
        <v>#N/A</v>
      </c>
      <c r="N106" t="e">
        <f ca="1"/>
        <v>#N/A</v>
      </c>
      <c r="O106" t="e">
        <f ca="1"/>
        <v>#N/A</v>
      </c>
      <c r="P106" t="e">
        <f ca="1"/>
        <v>#N/A</v>
      </c>
      <c r="Q106" t="e">
        <f ca="1"/>
        <v>#N/A</v>
      </c>
      <c r="R106" t="e">
        <f ca="1"/>
        <v>#N/A</v>
      </c>
      <c r="S106" t="e">
        <f ca="1"/>
        <v>#N/A</v>
      </c>
      <c r="T106" t="e">
        <f ca="1"/>
        <v>#N/A</v>
      </c>
      <c r="U106" t="e">
        <f ca="1"/>
        <v>#N/A</v>
      </c>
    </row>
    <row r="107" spans="2:21" x14ac:dyDescent="0.25">
      <c r="B107" t="e">
        <f ca="1"/>
        <v>#N/A</v>
      </c>
      <c r="C107" t="e">
        <f ca="1"/>
        <v>#N/A</v>
      </c>
      <c r="D107" t="e">
        <f ca="1"/>
        <v>#N/A</v>
      </c>
      <c r="E107" t="e">
        <f ca="1"/>
        <v>#N/A</v>
      </c>
      <c r="F107" t="e">
        <f ca="1"/>
        <v>#N/A</v>
      </c>
      <c r="G107" t="e">
        <f ca="1"/>
        <v>#N/A</v>
      </c>
      <c r="H107" t="e">
        <f ca="1"/>
        <v>#N/A</v>
      </c>
      <c r="I107" t="e">
        <f ca="1"/>
        <v>#N/A</v>
      </c>
      <c r="J107" t="e">
        <f ca="1"/>
        <v>#N/A</v>
      </c>
      <c r="K107" t="e">
        <f ca="1"/>
        <v>#N/A</v>
      </c>
      <c r="L107" t="e">
        <f ca="1"/>
        <v>#N/A</v>
      </c>
      <c r="M107" t="e">
        <f ca="1"/>
        <v>#N/A</v>
      </c>
      <c r="N107" t="e">
        <f ca="1"/>
        <v>#N/A</v>
      </c>
      <c r="O107" t="e">
        <f ca="1"/>
        <v>#N/A</v>
      </c>
      <c r="P107" t="e">
        <f ca="1"/>
        <v>#N/A</v>
      </c>
      <c r="Q107" t="e">
        <f ca="1"/>
        <v>#N/A</v>
      </c>
      <c r="R107" t="e">
        <f ca="1"/>
        <v>#N/A</v>
      </c>
      <c r="S107" t="e">
        <f ca="1"/>
        <v>#N/A</v>
      </c>
      <c r="T107" t="e">
        <f ca="1"/>
        <v>#N/A</v>
      </c>
      <c r="U107" t="e">
        <f ca="1"/>
        <v>#N/A</v>
      </c>
    </row>
    <row r="108" spans="2:21" x14ac:dyDescent="0.25">
      <c r="B108" t="e">
        <f ca="1"/>
        <v>#N/A</v>
      </c>
      <c r="C108" t="e">
        <f ca="1"/>
        <v>#N/A</v>
      </c>
      <c r="D108" t="e">
        <f ca="1"/>
        <v>#N/A</v>
      </c>
      <c r="E108" t="e">
        <f ca="1"/>
        <v>#N/A</v>
      </c>
      <c r="F108" t="e">
        <f ca="1"/>
        <v>#N/A</v>
      </c>
      <c r="G108" t="e">
        <f ca="1"/>
        <v>#N/A</v>
      </c>
      <c r="H108" t="e">
        <f ca="1"/>
        <v>#N/A</v>
      </c>
      <c r="I108" t="e">
        <f ca="1"/>
        <v>#N/A</v>
      </c>
      <c r="J108" t="e">
        <f ca="1"/>
        <v>#N/A</v>
      </c>
      <c r="K108" t="e">
        <f ca="1"/>
        <v>#N/A</v>
      </c>
      <c r="L108" t="e">
        <f ca="1"/>
        <v>#N/A</v>
      </c>
      <c r="M108" t="e">
        <f ca="1"/>
        <v>#N/A</v>
      </c>
      <c r="N108" t="e">
        <f ca="1"/>
        <v>#N/A</v>
      </c>
      <c r="O108" t="e">
        <f ca="1"/>
        <v>#N/A</v>
      </c>
      <c r="P108" t="e">
        <f ca="1"/>
        <v>#N/A</v>
      </c>
      <c r="Q108" t="e">
        <f ca="1"/>
        <v>#N/A</v>
      </c>
      <c r="R108" t="e">
        <f ca="1"/>
        <v>#N/A</v>
      </c>
      <c r="S108" t="e">
        <f ca="1"/>
        <v>#N/A</v>
      </c>
      <c r="T108" t="e">
        <f ca="1"/>
        <v>#N/A</v>
      </c>
      <c r="U108" t="e">
        <f ca="1"/>
        <v>#N/A</v>
      </c>
    </row>
    <row r="109" spans="2:21" x14ac:dyDescent="0.25">
      <c r="B109" t="e">
        <f ca="1"/>
        <v>#N/A</v>
      </c>
      <c r="C109" t="e">
        <f ca="1"/>
        <v>#N/A</v>
      </c>
      <c r="D109" t="e">
        <f ca="1"/>
        <v>#N/A</v>
      </c>
      <c r="E109" t="e">
        <f ca="1"/>
        <v>#N/A</v>
      </c>
      <c r="F109" t="e">
        <f ca="1"/>
        <v>#N/A</v>
      </c>
      <c r="G109" t="e">
        <f ca="1"/>
        <v>#N/A</v>
      </c>
      <c r="H109" t="e">
        <f ca="1"/>
        <v>#N/A</v>
      </c>
      <c r="I109" t="e">
        <f ca="1"/>
        <v>#N/A</v>
      </c>
      <c r="J109" t="e">
        <f ca="1"/>
        <v>#N/A</v>
      </c>
      <c r="K109" t="e">
        <f ca="1"/>
        <v>#N/A</v>
      </c>
      <c r="L109" t="e">
        <f ca="1"/>
        <v>#N/A</v>
      </c>
      <c r="M109" t="e">
        <f ca="1"/>
        <v>#N/A</v>
      </c>
      <c r="N109" t="e">
        <f ca="1"/>
        <v>#N/A</v>
      </c>
      <c r="O109" t="e">
        <f ca="1"/>
        <v>#N/A</v>
      </c>
      <c r="P109" t="e">
        <f ca="1"/>
        <v>#N/A</v>
      </c>
      <c r="Q109" t="e">
        <f ca="1"/>
        <v>#N/A</v>
      </c>
      <c r="R109" t="e">
        <f ca="1"/>
        <v>#N/A</v>
      </c>
      <c r="S109" t="e">
        <f ca="1"/>
        <v>#N/A</v>
      </c>
      <c r="T109" t="e">
        <f ca="1"/>
        <v>#N/A</v>
      </c>
      <c r="U109" t="e">
        <f ca="1"/>
        <v>#N/A</v>
      </c>
    </row>
    <row r="110" spans="2:21" x14ac:dyDescent="0.25">
      <c r="B110" t="e">
        <f ca="1"/>
        <v>#N/A</v>
      </c>
      <c r="C110" t="e">
        <f ca="1"/>
        <v>#N/A</v>
      </c>
      <c r="D110" t="e">
        <f ca="1"/>
        <v>#N/A</v>
      </c>
      <c r="E110" t="e">
        <f ca="1"/>
        <v>#N/A</v>
      </c>
      <c r="F110" t="e">
        <f ca="1"/>
        <v>#N/A</v>
      </c>
      <c r="G110" t="e">
        <f ca="1"/>
        <v>#N/A</v>
      </c>
      <c r="H110" t="e">
        <f ca="1"/>
        <v>#N/A</v>
      </c>
      <c r="I110" t="e">
        <f ca="1"/>
        <v>#N/A</v>
      </c>
      <c r="J110" t="e">
        <f ca="1"/>
        <v>#N/A</v>
      </c>
      <c r="K110" t="e">
        <f ca="1"/>
        <v>#N/A</v>
      </c>
      <c r="L110" t="e">
        <f ca="1"/>
        <v>#N/A</v>
      </c>
      <c r="M110" t="e">
        <f ca="1"/>
        <v>#N/A</v>
      </c>
      <c r="N110" t="e">
        <f ca="1"/>
        <v>#N/A</v>
      </c>
      <c r="O110" t="e">
        <f ca="1"/>
        <v>#N/A</v>
      </c>
      <c r="P110" t="e">
        <f ca="1"/>
        <v>#N/A</v>
      </c>
      <c r="Q110" t="e">
        <f ca="1"/>
        <v>#N/A</v>
      </c>
      <c r="R110" t="e">
        <f ca="1"/>
        <v>#N/A</v>
      </c>
      <c r="S110" t="e">
        <f ca="1"/>
        <v>#N/A</v>
      </c>
      <c r="T110" t="e">
        <f ca="1"/>
        <v>#N/A</v>
      </c>
      <c r="U110" t="e">
        <f ca="1"/>
        <v>#N/A</v>
      </c>
    </row>
    <row r="111" spans="2:21" x14ac:dyDescent="0.25">
      <c r="B111" t="e">
        <f ca="1"/>
        <v>#N/A</v>
      </c>
      <c r="C111" t="e">
        <f ca="1"/>
        <v>#N/A</v>
      </c>
      <c r="D111" t="e">
        <f ca="1"/>
        <v>#N/A</v>
      </c>
      <c r="E111" t="e">
        <f ca="1"/>
        <v>#N/A</v>
      </c>
      <c r="F111" t="e">
        <f ca="1"/>
        <v>#N/A</v>
      </c>
      <c r="G111" t="e">
        <f ca="1"/>
        <v>#N/A</v>
      </c>
      <c r="H111" t="e">
        <f ca="1"/>
        <v>#N/A</v>
      </c>
      <c r="I111" t="e">
        <f ca="1"/>
        <v>#N/A</v>
      </c>
      <c r="J111" t="e">
        <f ca="1"/>
        <v>#N/A</v>
      </c>
      <c r="K111" t="e">
        <f ca="1"/>
        <v>#N/A</v>
      </c>
      <c r="L111" t="e">
        <f ca="1"/>
        <v>#N/A</v>
      </c>
      <c r="M111" t="e">
        <f ca="1"/>
        <v>#N/A</v>
      </c>
      <c r="N111" t="e">
        <f ca="1"/>
        <v>#N/A</v>
      </c>
      <c r="O111" t="e">
        <f ca="1"/>
        <v>#N/A</v>
      </c>
      <c r="P111" t="e">
        <f ca="1"/>
        <v>#N/A</v>
      </c>
      <c r="Q111" t="e">
        <f ca="1"/>
        <v>#N/A</v>
      </c>
      <c r="R111" t="e">
        <f ca="1"/>
        <v>#N/A</v>
      </c>
      <c r="S111" t="e">
        <f ca="1"/>
        <v>#N/A</v>
      </c>
      <c r="T111" t="e">
        <f ca="1"/>
        <v>#N/A</v>
      </c>
      <c r="U111" t="e">
        <f ca="1"/>
        <v>#N/A</v>
      </c>
    </row>
    <row r="112" spans="2:21" x14ac:dyDescent="0.25">
      <c r="B112" t="e">
        <f ca="1"/>
        <v>#N/A</v>
      </c>
      <c r="C112" t="e">
        <f ca="1"/>
        <v>#N/A</v>
      </c>
      <c r="D112" t="e">
        <f ca="1"/>
        <v>#N/A</v>
      </c>
      <c r="E112" t="e">
        <f ca="1"/>
        <v>#N/A</v>
      </c>
      <c r="F112" t="e">
        <f ca="1"/>
        <v>#N/A</v>
      </c>
      <c r="G112" t="e">
        <f ca="1"/>
        <v>#N/A</v>
      </c>
      <c r="H112" t="e">
        <f ca="1"/>
        <v>#N/A</v>
      </c>
      <c r="I112" t="e">
        <f ca="1"/>
        <v>#N/A</v>
      </c>
      <c r="J112" t="e">
        <f ca="1"/>
        <v>#N/A</v>
      </c>
      <c r="K112" t="e">
        <f ca="1"/>
        <v>#N/A</v>
      </c>
      <c r="L112" t="e">
        <f ca="1"/>
        <v>#N/A</v>
      </c>
      <c r="M112" t="e">
        <f ca="1"/>
        <v>#N/A</v>
      </c>
      <c r="N112" t="e">
        <f ca="1"/>
        <v>#N/A</v>
      </c>
      <c r="O112" t="e">
        <f ca="1"/>
        <v>#N/A</v>
      </c>
      <c r="P112" t="e">
        <f ca="1"/>
        <v>#N/A</v>
      </c>
      <c r="Q112" t="e">
        <f ca="1"/>
        <v>#N/A</v>
      </c>
      <c r="R112" t="e">
        <f ca="1"/>
        <v>#N/A</v>
      </c>
      <c r="S112" t="e">
        <f ca="1"/>
        <v>#N/A</v>
      </c>
      <c r="T112" t="e">
        <f ca="1"/>
        <v>#N/A</v>
      </c>
      <c r="U112" t="e">
        <f ca="1"/>
        <v>#N/A</v>
      </c>
    </row>
    <row r="113" spans="2:21" x14ac:dyDescent="0.25">
      <c r="B113" t="e">
        <f ca="1"/>
        <v>#N/A</v>
      </c>
      <c r="C113" t="e">
        <f ca="1"/>
        <v>#N/A</v>
      </c>
      <c r="D113" t="e">
        <f ca="1"/>
        <v>#N/A</v>
      </c>
      <c r="E113" t="e">
        <f ca="1"/>
        <v>#N/A</v>
      </c>
      <c r="F113" t="e">
        <f ca="1"/>
        <v>#N/A</v>
      </c>
      <c r="G113" t="e">
        <f ca="1"/>
        <v>#N/A</v>
      </c>
      <c r="H113" t="e">
        <f ca="1"/>
        <v>#N/A</v>
      </c>
      <c r="I113" t="e">
        <f ca="1"/>
        <v>#N/A</v>
      </c>
      <c r="J113" t="e">
        <f ca="1"/>
        <v>#N/A</v>
      </c>
      <c r="K113" t="e">
        <f ca="1"/>
        <v>#N/A</v>
      </c>
      <c r="L113" t="e">
        <f ca="1"/>
        <v>#N/A</v>
      </c>
      <c r="M113" t="e">
        <f ca="1"/>
        <v>#N/A</v>
      </c>
      <c r="N113" t="e">
        <f ca="1"/>
        <v>#N/A</v>
      </c>
      <c r="O113" t="e">
        <f ca="1"/>
        <v>#N/A</v>
      </c>
      <c r="P113" t="e">
        <f ca="1"/>
        <v>#N/A</v>
      </c>
      <c r="Q113" t="e">
        <f ca="1"/>
        <v>#N/A</v>
      </c>
      <c r="R113" t="e">
        <f ca="1"/>
        <v>#N/A</v>
      </c>
      <c r="S113" t="e">
        <f ca="1"/>
        <v>#N/A</v>
      </c>
      <c r="T113" t="e">
        <f ca="1"/>
        <v>#N/A</v>
      </c>
      <c r="U113" t="e">
        <f ca="1"/>
        <v>#N/A</v>
      </c>
    </row>
    <row r="114" spans="2:21" x14ac:dyDescent="0.25">
      <c r="B114" t="e">
        <f ca="1"/>
        <v>#N/A</v>
      </c>
      <c r="C114" t="e">
        <f ca="1"/>
        <v>#N/A</v>
      </c>
      <c r="D114" t="e">
        <f ca="1"/>
        <v>#N/A</v>
      </c>
      <c r="E114" t="e">
        <f ca="1"/>
        <v>#N/A</v>
      </c>
      <c r="F114" t="e">
        <f ca="1"/>
        <v>#N/A</v>
      </c>
      <c r="G114" t="e">
        <f ca="1"/>
        <v>#N/A</v>
      </c>
      <c r="H114" t="e">
        <f ca="1"/>
        <v>#N/A</v>
      </c>
      <c r="I114" t="e">
        <f ca="1"/>
        <v>#N/A</v>
      </c>
      <c r="J114" t="e">
        <f ca="1"/>
        <v>#N/A</v>
      </c>
      <c r="K114" t="e">
        <f ca="1"/>
        <v>#N/A</v>
      </c>
      <c r="L114" t="e">
        <f ca="1"/>
        <v>#N/A</v>
      </c>
      <c r="M114" t="e">
        <f ca="1"/>
        <v>#N/A</v>
      </c>
      <c r="N114" t="e">
        <f ca="1"/>
        <v>#N/A</v>
      </c>
      <c r="O114" t="e">
        <f ca="1"/>
        <v>#N/A</v>
      </c>
      <c r="P114" t="e">
        <f ca="1"/>
        <v>#N/A</v>
      </c>
      <c r="Q114" t="e">
        <f ca="1"/>
        <v>#N/A</v>
      </c>
      <c r="R114" t="e">
        <f ca="1"/>
        <v>#N/A</v>
      </c>
      <c r="S114" t="e">
        <f ca="1"/>
        <v>#N/A</v>
      </c>
      <c r="T114" t="e">
        <f ca="1"/>
        <v>#N/A</v>
      </c>
      <c r="U114" t="e">
        <f ca="1"/>
        <v>#N/A</v>
      </c>
    </row>
    <row r="115" spans="2:21" x14ac:dyDescent="0.25">
      <c r="B115" t="e">
        <f ca="1"/>
        <v>#N/A</v>
      </c>
      <c r="C115" t="e">
        <f ca="1"/>
        <v>#N/A</v>
      </c>
      <c r="D115" t="e">
        <f ca="1"/>
        <v>#N/A</v>
      </c>
      <c r="E115" t="e">
        <f ca="1"/>
        <v>#N/A</v>
      </c>
      <c r="F115" t="e">
        <f ca="1"/>
        <v>#N/A</v>
      </c>
      <c r="G115" t="e">
        <f ca="1"/>
        <v>#N/A</v>
      </c>
      <c r="H115" t="e">
        <f ca="1"/>
        <v>#N/A</v>
      </c>
      <c r="I115" t="e">
        <f ca="1"/>
        <v>#N/A</v>
      </c>
      <c r="J115" t="e">
        <f ca="1"/>
        <v>#N/A</v>
      </c>
      <c r="K115" t="e">
        <f ca="1"/>
        <v>#N/A</v>
      </c>
      <c r="L115" t="e">
        <f ca="1"/>
        <v>#N/A</v>
      </c>
      <c r="M115" t="e">
        <f ca="1"/>
        <v>#N/A</v>
      </c>
      <c r="N115" t="e">
        <f ca="1"/>
        <v>#N/A</v>
      </c>
      <c r="O115" t="e">
        <f ca="1"/>
        <v>#N/A</v>
      </c>
      <c r="P115" t="e">
        <f ca="1"/>
        <v>#N/A</v>
      </c>
      <c r="Q115" t="e">
        <f ca="1"/>
        <v>#N/A</v>
      </c>
      <c r="R115" t="e">
        <f ca="1"/>
        <v>#N/A</v>
      </c>
      <c r="S115" t="e">
        <f ca="1"/>
        <v>#N/A</v>
      </c>
      <c r="T115" t="e">
        <f ca="1"/>
        <v>#N/A</v>
      </c>
      <c r="U115" t="e">
        <f ca="1"/>
        <v>#N/A</v>
      </c>
    </row>
    <row r="116" spans="2:21" x14ac:dyDescent="0.25">
      <c r="B116" t="e">
        <f ca="1"/>
        <v>#N/A</v>
      </c>
      <c r="C116" t="e">
        <f ca="1"/>
        <v>#N/A</v>
      </c>
      <c r="D116" t="e">
        <f ca="1"/>
        <v>#N/A</v>
      </c>
      <c r="E116" t="e">
        <f ca="1"/>
        <v>#N/A</v>
      </c>
      <c r="F116" t="e">
        <f ca="1"/>
        <v>#N/A</v>
      </c>
      <c r="G116" t="e">
        <f ca="1"/>
        <v>#N/A</v>
      </c>
      <c r="H116" t="e">
        <f ca="1"/>
        <v>#N/A</v>
      </c>
      <c r="I116" t="e">
        <f ca="1"/>
        <v>#N/A</v>
      </c>
      <c r="J116" t="e">
        <f ca="1"/>
        <v>#N/A</v>
      </c>
      <c r="K116" t="e">
        <f ca="1"/>
        <v>#N/A</v>
      </c>
      <c r="L116" t="e">
        <f ca="1"/>
        <v>#N/A</v>
      </c>
      <c r="M116" t="e">
        <f ca="1"/>
        <v>#N/A</v>
      </c>
      <c r="N116" t="e">
        <f ca="1"/>
        <v>#N/A</v>
      </c>
      <c r="O116" t="e">
        <f ca="1"/>
        <v>#N/A</v>
      </c>
      <c r="P116" t="e">
        <f ca="1"/>
        <v>#N/A</v>
      </c>
      <c r="Q116" t="e">
        <f ca="1"/>
        <v>#N/A</v>
      </c>
      <c r="R116" t="e">
        <f ca="1"/>
        <v>#N/A</v>
      </c>
      <c r="S116" t="e">
        <f ca="1"/>
        <v>#N/A</v>
      </c>
      <c r="T116" t="e">
        <f ca="1"/>
        <v>#N/A</v>
      </c>
      <c r="U116" t="e">
        <f ca="1"/>
        <v>#N/A</v>
      </c>
    </row>
    <row r="117" spans="2:21" x14ac:dyDescent="0.25">
      <c r="B117" t="e">
        <f ca="1"/>
        <v>#N/A</v>
      </c>
      <c r="C117" t="e">
        <f ca="1"/>
        <v>#N/A</v>
      </c>
      <c r="D117" t="e">
        <f ca="1"/>
        <v>#N/A</v>
      </c>
      <c r="E117" t="e">
        <f ca="1"/>
        <v>#N/A</v>
      </c>
      <c r="F117" t="e">
        <f ca="1"/>
        <v>#N/A</v>
      </c>
      <c r="G117" t="e">
        <f ca="1"/>
        <v>#N/A</v>
      </c>
      <c r="H117" t="e">
        <f ca="1"/>
        <v>#N/A</v>
      </c>
      <c r="I117" t="e">
        <f ca="1"/>
        <v>#N/A</v>
      </c>
      <c r="J117" t="e">
        <f ca="1"/>
        <v>#N/A</v>
      </c>
      <c r="K117" t="e">
        <f ca="1"/>
        <v>#N/A</v>
      </c>
      <c r="L117" t="e">
        <f ca="1"/>
        <v>#N/A</v>
      </c>
      <c r="M117" t="e">
        <f ca="1"/>
        <v>#N/A</v>
      </c>
      <c r="N117" t="e">
        <f ca="1"/>
        <v>#N/A</v>
      </c>
      <c r="O117" t="e">
        <f ca="1"/>
        <v>#N/A</v>
      </c>
      <c r="P117" t="e">
        <f ca="1"/>
        <v>#N/A</v>
      </c>
      <c r="Q117" t="e">
        <f ca="1"/>
        <v>#N/A</v>
      </c>
      <c r="R117" t="e">
        <f ca="1"/>
        <v>#N/A</v>
      </c>
      <c r="S117" t="e">
        <f ca="1"/>
        <v>#N/A</v>
      </c>
      <c r="T117" t="e">
        <f ca="1"/>
        <v>#N/A</v>
      </c>
      <c r="U117" t="e">
        <f ca="1"/>
        <v>#N/A</v>
      </c>
    </row>
    <row r="118" spans="2:21" x14ac:dyDescent="0.25">
      <c r="B118" t="e">
        <f ca="1"/>
        <v>#N/A</v>
      </c>
      <c r="C118" t="e">
        <f ca="1"/>
        <v>#N/A</v>
      </c>
      <c r="D118" t="e">
        <f ca="1"/>
        <v>#N/A</v>
      </c>
      <c r="E118" t="e">
        <f ca="1"/>
        <v>#N/A</v>
      </c>
      <c r="F118" t="e">
        <f ca="1"/>
        <v>#N/A</v>
      </c>
      <c r="G118" t="e">
        <f ca="1"/>
        <v>#N/A</v>
      </c>
      <c r="H118" t="e">
        <f ca="1"/>
        <v>#N/A</v>
      </c>
      <c r="I118" t="e">
        <f ca="1"/>
        <v>#N/A</v>
      </c>
      <c r="J118" t="e">
        <f ca="1"/>
        <v>#N/A</v>
      </c>
      <c r="K118" t="e">
        <f ca="1"/>
        <v>#N/A</v>
      </c>
      <c r="L118" t="e">
        <f ca="1"/>
        <v>#N/A</v>
      </c>
      <c r="M118" t="e">
        <f ca="1"/>
        <v>#N/A</v>
      </c>
      <c r="N118" t="e">
        <f ca="1"/>
        <v>#N/A</v>
      </c>
      <c r="O118" t="e">
        <f ca="1"/>
        <v>#N/A</v>
      </c>
      <c r="P118" t="e">
        <f ca="1"/>
        <v>#N/A</v>
      </c>
      <c r="Q118" t="e">
        <f ca="1"/>
        <v>#N/A</v>
      </c>
      <c r="R118" t="e">
        <f ca="1"/>
        <v>#N/A</v>
      </c>
      <c r="S118" t="e">
        <f ca="1"/>
        <v>#N/A</v>
      </c>
      <c r="T118" t="e">
        <f ca="1"/>
        <v>#N/A</v>
      </c>
      <c r="U118" t="e">
        <f ca="1"/>
        <v>#N/A</v>
      </c>
    </row>
    <row r="119" spans="2:21" x14ac:dyDescent="0.25">
      <c r="B119" t="e">
        <f ca="1"/>
        <v>#N/A</v>
      </c>
      <c r="C119" t="e">
        <f ca="1"/>
        <v>#N/A</v>
      </c>
      <c r="D119" t="e">
        <f ca="1"/>
        <v>#N/A</v>
      </c>
      <c r="E119" t="e">
        <f ca="1"/>
        <v>#N/A</v>
      </c>
      <c r="F119" t="e">
        <f ca="1"/>
        <v>#N/A</v>
      </c>
      <c r="G119" t="e">
        <f ca="1"/>
        <v>#N/A</v>
      </c>
      <c r="H119" t="e">
        <f ca="1"/>
        <v>#N/A</v>
      </c>
      <c r="I119" t="e">
        <f ca="1"/>
        <v>#N/A</v>
      </c>
      <c r="J119" t="e">
        <f ca="1"/>
        <v>#N/A</v>
      </c>
      <c r="K119" t="e">
        <f ca="1"/>
        <v>#N/A</v>
      </c>
      <c r="L119" t="e">
        <f ca="1"/>
        <v>#N/A</v>
      </c>
      <c r="M119" t="e">
        <f ca="1"/>
        <v>#N/A</v>
      </c>
      <c r="N119" t="e">
        <f ca="1"/>
        <v>#N/A</v>
      </c>
      <c r="O119" t="e">
        <f ca="1"/>
        <v>#N/A</v>
      </c>
      <c r="P119" t="e">
        <f ca="1"/>
        <v>#N/A</v>
      </c>
      <c r="Q119" t="e">
        <f ca="1"/>
        <v>#N/A</v>
      </c>
      <c r="R119" t="e">
        <f ca="1"/>
        <v>#N/A</v>
      </c>
      <c r="S119" t="e">
        <f ca="1"/>
        <v>#N/A</v>
      </c>
      <c r="T119" t="e">
        <f ca="1"/>
        <v>#N/A</v>
      </c>
      <c r="U119" t="e">
        <f ca="1"/>
        <v>#N/A</v>
      </c>
    </row>
    <row r="120" spans="2:21" x14ac:dyDescent="0.25">
      <c r="B120" t="e">
        <f ca="1"/>
        <v>#N/A</v>
      </c>
      <c r="C120" t="e">
        <f ca="1"/>
        <v>#N/A</v>
      </c>
      <c r="D120" t="e">
        <f ca="1"/>
        <v>#N/A</v>
      </c>
      <c r="E120" t="e">
        <f ca="1"/>
        <v>#N/A</v>
      </c>
      <c r="F120" t="e">
        <f ca="1"/>
        <v>#N/A</v>
      </c>
      <c r="G120" t="e">
        <f ca="1"/>
        <v>#N/A</v>
      </c>
      <c r="H120" t="e">
        <f ca="1"/>
        <v>#N/A</v>
      </c>
      <c r="I120" t="e">
        <f ca="1"/>
        <v>#N/A</v>
      </c>
      <c r="J120" t="e">
        <f ca="1"/>
        <v>#N/A</v>
      </c>
      <c r="K120" t="e">
        <f ca="1"/>
        <v>#N/A</v>
      </c>
      <c r="L120" t="e">
        <f ca="1"/>
        <v>#N/A</v>
      </c>
      <c r="M120" t="e">
        <f ca="1"/>
        <v>#N/A</v>
      </c>
      <c r="N120" t="e">
        <f ca="1"/>
        <v>#N/A</v>
      </c>
      <c r="O120" t="e">
        <f ca="1"/>
        <v>#N/A</v>
      </c>
      <c r="P120" t="e">
        <f ca="1"/>
        <v>#N/A</v>
      </c>
      <c r="Q120" t="e">
        <f ca="1"/>
        <v>#N/A</v>
      </c>
      <c r="R120" t="e">
        <f ca="1"/>
        <v>#N/A</v>
      </c>
      <c r="S120" t="e">
        <f ca="1"/>
        <v>#N/A</v>
      </c>
      <c r="T120" t="e">
        <f ca="1"/>
        <v>#N/A</v>
      </c>
      <c r="U120" t="e">
        <f ca="1"/>
        <v>#N/A</v>
      </c>
    </row>
    <row r="121" spans="2:21" x14ac:dyDescent="0.25">
      <c r="B121" t="e">
        <f ca="1"/>
        <v>#N/A</v>
      </c>
      <c r="C121" t="e">
        <f ca="1"/>
        <v>#N/A</v>
      </c>
      <c r="D121" t="e">
        <f ca="1"/>
        <v>#N/A</v>
      </c>
      <c r="E121" t="e">
        <f ca="1"/>
        <v>#N/A</v>
      </c>
      <c r="F121" t="e">
        <f ca="1"/>
        <v>#N/A</v>
      </c>
      <c r="G121" t="e">
        <f ca="1"/>
        <v>#N/A</v>
      </c>
      <c r="H121" t="e">
        <f ca="1"/>
        <v>#N/A</v>
      </c>
      <c r="I121" t="e">
        <f ca="1"/>
        <v>#N/A</v>
      </c>
      <c r="J121" t="e">
        <f ca="1"/>
        <v>#N/A</v>
      </c>
      <c r="K121" t="e">
        <f ca="1"/>
        <v>#N/A</v>
      </c>
      <c r="L121" t="e">
        <f ca="1"/>
        <v>#N/A</v>
      </c>
      <c r="M121" t="e">
        <f ca="1"/>
        <v>#N/A</v>
      </c>
      <c r="N121" t="e">
        <f ca="1"/>
        <v>#N/A</v>
      </c>
      <c r="O121" t="e">
        <f ca="1"/>
        <v>#N/A</v>
      </c>
      <c r="P121" t="e">
        <f ca="1"/>
        <v>#N/A</v>
      </c>
      <c r="Q121" t="e">
        <f ca="1"/>
        <v>#N/A</v>
      </c>
      <c r="R121" t="e">
        <f ca="1"/>
        <v>#N/A</v>
      </c>
      <c r="S121" t="e">
        <f ca="1"/>
        <v>#N/A</v>
      </c>
      <c r="T121" t="e">
        <f ca="1"/>
        <v>#N/A</v>
      </c>
      <c r="U121" t="e">
        <f ca="1"/>
        <v>#N/A</v>
      </c>
    </row>
    <row r="122" spans="2:21" x14ac:dyDescent="0.25">
      <c r="B122" t="e">
        <f ca="1"/>
        <v>#N/A</v>
      </c>
      <c r="C122" t="e">
        <f ca="1"/>
        <v>#N/A</v>
      </c>
      <c r="D122" t="e">
        <f ca="1"/>
        <v>#N/A</v>
      </c>
      <c r="E122" t="e">
        <f ca="1"/>
        <v>#N/A</v>
      </c>
      <c r="F122" t="e">
        <f ca="1"/>
        <v>#N/A</v>
      </c>
      <c r="G122" t="e">
        <f ca="1"/>
        <v>#N/A</v>
      </c>
      <c r="H122" t="e">
        <f ca="1"/>
        <v>#N/A</v>
      </c>
      <c r="I122" t="e">
        <f ca="1"/>
        <v>#N/A</v>
      </c>
      <c r="J122" t="e">
        <f ca="1"/>
        <v>#N/A</v>
      </c>
      <c r="K122" t="e">
        <f ca="1"/>
        <v>#N/A</v>
      </c>
      <c r="L122" t="e">
        <f ca="1"/>
        <v>#N/A</v>
      </c>
      <c r="M122" t="e">
        <f ca="1"/>
        <v>#N/A</v>
      </c>
      <c r="N122" t="e">
        <f ca="1"/>
        <v>#N/A</v>
      </c>
      <c r="O122" t="e">
        <f ca="1"/>
        <v>#N/A</v>
      </c>
      <c r="P122" t="e">
        <f ca="1"/>
        <v>#N/A</v>
      </c>
      <c r="Q122" t="e">
        <f ca="1"/>
        <v>#N/A</v>
      </c>
      <c r="R122" t="e">
        <f ca="1"/>
        <v>#N/A</v>
      </c>
      <c r="S122" t="e">
        <f ca="1"/>
        <v>#N/A</v>
      </c>
      <c r="T122" t="e">
        <f ca="1"/>
        <v>#N/A</v>
      </c>
      <c r="U122" t="e">
        <f ca="1"/>
        <v>#N/A</v>
      </c>
    </row>
    <row r="123" spans="2:21" x14ac:dyDescent="0.25">
      <c r="B123" t="e">
        <f ca="1"/>
        <v>#N/A</v>
      </c>
      <c r="C123" t="e">
        <f ca="1"/>
        <v>#N/A</v>
      </c>
      <c r="D123" t="e">
        <f ca="1"/>
        <v>#N/A</v>
      </c>
      <c r="E123" t="e">
        <f ca="1"/>
        <v>#N/A</v>
      </c>
      <c r="F123" t="e">
        <f ca="1"/>
        <v>#N/A</v>
      </c>
      <c r="G123" t="e">
        <f ca="1"/>
        <v>#N/A</v>
      </c>
      <c r="H123" t="e">
        <f ca="1"/>
        <v>#N/A</v>
      </c>
      <c r="I123" t="e">
        <f ca="1"/>
        <v>#N/A</v>
      </c>
      <c r="J123" t="e">
        <f ca="1"/>
        <v>#N/A</v>
      </c>
      <c r="K123" t="e">
        <f ca="1"/>
        <v>#N/A</v>
      </c>
      <c r="L123" t="e">
        <f ca="1"/>
        <v>#N/A</v>
      </c>
      <c r="M123" t="e">
        <f ca="1"/>
        <v>#N/A</v>
      </c>
      <c r="N123" t="e">
        <f ca="1"/>
        <v>#N/A</v>
      </c>
      <c r="O123" t="e">
        <f ca="1"/>
        <v>#N/A</v>
      </c>
      <c r="P123" t="e">
        <f ca="1"/>
        <v>#N/A</v>
      </c>
      <c r="Q123" t="e">
        <f ca="1"/>
        <v>#N/A</v>
      </c>
      <c r="R123" t="e">
        <f ca="1"/>
        <v>#N/A</v>
      </c>
      <c r="S123" t="e">
        <f ca="1"/>
        <v>#N/A</v>
      </c>
      <c r="T123" t="e">
        <f ca="1"/>
        <v>#N/A</v>
      </c>
      <c r="U123" t="e">
        <f ca="1"/>
        <v>#N/A</v>
      </c>
    </row>
    <row r="124" spans="2:21" x14ac:dyDescent="0.25">
      <c r="B124" t="e">
        <f ca="1"/>
        <v>#N/A</v>
      </c>
      <c r="C124" t="e">
        <f ca="1"/>
        <v>#N/A</v>
      </c>
      <c r="D124" t="e">
        <f ca="1"/>
        <v>#N/A</v>
      </c>
      <c r="E124" t="e">
        <f ca="1"/>
        <v>#N/A</v>
      </c>
      <c r="F124" t="e">
        <f ca="1"/>
        <v>#N/A</v>
      </c>
      <c r="G124" t="e">
        <f ca="1"/>
        <v>#N/A</v>
      </c>
      <c r="H124" t="e">
        <f ca="1"/>
        <v>#N/A</v>
      </c>
      <c r="I124" t="e">
        <f ca="1"/>
        <v>#N/A</v>
      </c>
      <c r="J124" t="e">
        <f ca="1"/>
        <v>#N/A</v>
      </c>
      <c r="K124" t="e">
        <f ca="1"/>
        <v>#N/A</v>
      </c>
      <c r="L124" t="e">
        <f ca="1"/>
        <v>#N/A</v>
      </c>
      <c r="M124" t="e">
        <f ca="1"/>
        <v>#N/A</v>
      </c>
      <c r="N124" t="e">
        <f ca="1"/>
        <v>#N/A</v>
      </c>
      <c r="O124" t="e">
        <f ca="1"/>
        <v>#N/A</v>
      </c>
      <c r="P124" t="e">
        <f ca="1"/>
        <v>#N/A</v>
      </c>
      <c r="Q124" t="e">
        <f ca="1"/>
        <v>#N/A</v>
      </c>
      <c r="R124" t="e">
        <f ca="1"/>
        <v>#N/A</v>
      </c>
      <c r="S124" t="e">
        <f ca="1"/>
        <v>#N/A</v>
      </c>
      <c r="T124" t="e">
        <f ca="1"/>
        <v>#N/A</v>
      </c>
      <c r="U124" t="e">
        <f ca="1"/>
        <v>#N/A</v>
      </c>
    </row>
    <row r="125" spans="2:21" x14ac:dyDescent="0.25">
      <c r="B125" t="e">
        <f ca="1"/>
        <v>#N/A</v>
      </c>
      <c r="C125" t="e">
        <f ca="1"/>
        <v>#N/A</v>
      </c>
      <c r="D125" t="e">
        <f ca="1"/>
        <v>#N/A</v>
      </c>
      <c r="E125" t="e">
        <f ca="1"/>
        <v>#N/A</v>
      </c>
      <c r="F125" t="e">
        <f ca="1"/>
        <v>#N/A</v>
      </c>
      <c r="G125" t="e">
        <f ca="1"/>
        <v>#N/A</v>
      </c>
      <c r="H125" t="e">
        <f ca="1"/>
        <v>#N/A</v>
      </c>
      <c r="I125" t="e">
        <f ca="1"/>
        <v>#N/A</v>
      </c>
      <c r="J125" t="e">
        <f ca="1"/>
        <v>#N/A</v>
      </c>
      <c r="K125" t="e">
        <f ca="1"/>
        <v>#N/A</v>
      </c>
      <c r="L125" t="e">
        <f ca="1"/>
        <v>#N/A</v>
      </c>
      <c r="M125" t="e">
        <f ca="1"/>
        <v>#N/A</v>
      </c>
      <c r="N125" t="e">
        <f ca="1"/>
        <v>#N/A</v>
      </c>
      <c r="O125" t="e">
        <f ca="1"/>
        <v>#N/A</v>
      </c>
      <c r="P125" t="e">
        <f ca="1"/>
        <v>#N/A</v>
      </c>
      <c r="Q125" t="e">
        <f ca="1"/>
        <v>#N/A</v>
      </c>
      <c r="R125" t="e">
        <f ca="1"/>
        <v>#N/A</v>
      </c>
      <c r="S125" t="e">
        <f ca="1"/>
        <v>#N/A</v>
      </c>
      <c r="T125" t="e">
        <f ca="1"/>
        <v>#N/A</v>
      </c>
      <c r="U125" t="e">
        <f ca="1"/>
        <v>#N/A</v>
      </c>
    </row>
    <row r="126" spans="2:21" x14ac:dyDescent="0.25">
      <c r="B126" t="e">
        <f ca="1"/>
        <v>#N/A</v>
      </c>
      <c r="C126" t="e">
        <f ca="1"/>
        <v>#N/A</v>
      </c>
      <c r="D126" t="e">
        <f ca="1"/>
        <v>#N/A</v>
      </c>
      <c r="E126" t="e">
        <f ca="1"/>
        <v>#N/A</v>
      </c>
      <c r="F126" t="e">
        <f ca="1"/>
        <v>#N/A</v>
      </c>
      <c r="G126" t="e">
        <f ca="1"/>
        <v>#N/A</v>
      </c>
      <c r="H126" t="e">
        <f ca="1"/>
        <v>#N/A</v>
      </c>
      <c r="I126" t="e">
        <f ca="1"/>
        <v>#N/A</v>
      </c>
      <c r="J126" t="e">
        <f ca="1"/>
        <v>#N/A</v>
      </c>
      <c r="K126" t="e">
        <f ca="1"/>
        <v>#N/A</v>
      </c>
      <c r="L126" t="e">
        <f ca="1"/>
        <v>#N/A</v>
      </c>
      <c r="M126" t="e">
        <f ca="1"/>
        <v>#N/A</v>
      </c>
      <c r="N126" t="e">
        <f ca="1"/>
        <v>#N/A</v>
      </c>
      <c r="O126" t="e">
        <f ca="1"/>
        <v>#N/A</v>
      </c>
      <c r="P126" t="e">
        <f ca="1"/>
        <v>#N/A</v>
      </c>
      <c r="Q126" t="e">
        <f ca="1"/>
        <v>#N/A</v>
      </c>
      <c r="R126" t="e">
        <f ca="1"/>
        <v>#N/A</v>
      </c>
      <c r="S126" t="e">
        <f ca="1"/>
        <v>#N/A</v>
      </c>
      <c r="T126" t="e">
        <f ca="1"/>
        <v>#N/A</v>
      </c>
      <c r="U126" t="e">
        <f ca="1"/>
        <v>#N/A</v>
      </c>
    </row>
    <row r="127" spans="2:21" x14ac:dyDescent="0.25">
      <c r="B127" t="e">
        <f ca="1"/>
        <v>#N/A</v>
      </c>
      <c r="C127" t="e">
        <f ca="1"/>
        <v>#N/A</v>
      </c>
      <c r="D127" t="e">
        <f ca="1"/>
        <v>#N/A</v>
      </c>
      <c r="E127" t="e">
        <f ca="1"/>
        <v>#N/A</v>
      </c>
      <c r="F127" t="e">
        <f ca="1"/>
        <v>#N/A</v>
      </c>
      <c r="G127" t="e">
        <f ca="1"/>
        <v>#N/A</v>
      </c>
      <c r="H127" t="e">
        <f ca="1"/>
        <v>#N/A</v>
      </c>
      <c r="I127" t="e">
        <f ca="1"/>
        <v>#N/A</v>
      </c>
      <c r="J127" t="e">
        <f ca="1"/>
        <v>#N/A</v>
      </c>
      <c r="K127" t="e">
        <f ca="1"/>
        <v>#N/A</v>
      </c>
      <c r="L127" t="e">
        <f ca="1"/>
        <v>#N/A</v>
      </c>
      <c r="M127" t="e">
        <f ca="1"/>
        <v>#N/A</v>
      </c>
      <c r="N127" t="e">
        <f ca="1"/>
        <v>#N/A</v>
      </c>
      <c r="O127" t="e">
        <f ca="1"/>
        <v>#N/A</v>
      </c>
      <c r="P127" t="e">
        <f ca="1"/>
        <v>#N/A</v>
      </c>
      <c r="Q127" t="e">
        <f ca="1"/>
        <v>#N/A</v>
      </c>
      <c r="R127" t="e">
        <f ca="1"/>
        <v>#N/A</v>
      </c>
      <c r="S127" t="e">
        <f ca="1"/>
        <v>#N/A</v>
      </c>
      <c r="T127" t="e">
        <f ca="1"/>
        <v>#N/A</v>
      </c>
      <c r="U127" t="e">
        <f ca="1"/>
        <v>#N/A</v>
      </c>
    </row>
    <row r="128" spans="2:21" x14ac:dyDescent="0.25">
      <c r="B128" t="e">
        <f ca="1"/>
        <v>#N/A</v>
      </c>
      <c r="C128" t="e">
        <f ca="1"/>
        <v>#N/A</v>
      </c>
      <c r="D128" t="e">
        <f ca="1"/>
        <v>#N/A</v>
      </c>
      <c r="E128" t="e">
        <f ca="1"/>
        <v>#N/A</v>
      </c>
      <c r="F128" t="e">
        <f ca="1"/>
        <v>#N/A</v>
      </c>
      <c r="G128" t="e">
        <f ca="1"/>
        <v>#N/A</v>
      </c>
      <c r="H128" t="e">
        <f ca="1"/>
        <v>#N/A</v>
      </c>
      <c r="I128" t="e">
        <f ca="1"/>
        <v>#N/A</v>
      </c>
      <c r="J128" t="e">
        <f ca="1"/>
        <v>#N/A</v>
      </c>
      <c r="K128" t="e">
        <f ca="1"/>
        <v>#N/A</v>
      </c>
      <c r="L128" t="e">
        <f ca="1"/>
        <v>#N/A</v>
      </c>
      <c r="M128" t="e">
        <f ca="1"/>
        <v>#N/A</v>
      </c>
      <c r="N128" t="e">
        <f ca="1"/>
        <v>#N/A</v>
      </c>
      <c r="O128" t="e">
        <f ca="1"/>
        <v>#N/A</v>
      </c>
      <c r="P128" t="e">
        <f ca="1"/>
        <v>#N/A</v>
      </c>
      <c r="Q128" t="e">
        <f ca="1"/>
        <v>#N/A</v>
      </c>
      <c r="R128" t="e">
        <f ca="1"/>
        <v>#N/A</v>
      </c>
      <c r="S128" t="e">
        <f ca="1"/>
        <v>#N/A</v>
      </c>
      <c r="T128" t="e">
        <f ca="1"/>
        <v>#N/A</v>
      </c>
      <c r="U128" t="e">
        <f ca="1"/>
        <v>#N/A</v>
      </c>
    </row>
    <row r="129" spans="2:21" x14ac:dyDescent="0.25">
      <c r="B129" t="e">
        <f ca="1"/>
        <v>#N/A</v>
      </c>
      <c r="C129" t="e">
        <f ca="1"/>
        <v>#N/A</v>
      </c>
      <c r="D129" t="e">
        <f ca="1"/>
        <v>#N/A</v>
      </c>
      <c r="E129" t="e">
        <f ca="1"/>
        <v>#N/A</v>
      </c>
      <c r="F129" t="e">
        <f ca="1"/>
        <v>#N/A</v>
      </c>
      <c r="G129" t="e">
        <f ca="1"/>
        <v>#N/A</v>
      </c>
      <c r="H129" t="e">
        <f ca="1"/>
        <v>#N/A</v>
      </c>
      <c r="I129" t="e">
        <f ca="1"/>
        <v>#N/A</v>
      </c>
      <c r="J129" t="e">
        <f ca="1"/>
        <v>#N/A</v>
      </c>
      <c r="K129" t="e">
        <f ca="1"/>
        <v>#N/A</v>
      </c>
      <c r="L129" t="e">
        <f ca="1"/>
        <v>#N/A</v>
      </c>
      <c r="M129" t="e">
        <f ca="1"/>
        <v>#N/A</v>
      </c>
      <c r="N129" t="e">
        <f ca="1"/>
        <v>#N/A</v>
      </c>
      <c r="O129" t="e">
        <f ca="1"/>
        <v>#N/A</v>
      </c>
      <c r="P129" t="e">
        <f ca="1"/>
        <v>#N/A</v>
      </c>
      <c r="Q129" t="e">
        <f ca="1"/>
        <v>#N/A</v>
      </c>
      <c r="R129" t="e">
        <f ca="1"/>
        <v>#N/A</v>
      </c>
      <c r="S129" t="e">
        <f ca="1"/>
        <v>#N/A</v>
      </c>
      <c r="T129" t="e">
        <f ca="1"/>
        <v>#N/A</v>
      </c>
      <c r="U129" t="e">
        <f ca="1"/>
        <v>#N/A</v>
      </c>
    </row>
    <row r="130" spans="2:21" x14ac:dyDescent="0.25">
      <c r="B130" t="e">
        <f ca="1"/>
        <v>#N/A</v>
      </c>
      <c r="C130" t="e">
        <f ca="1"/>
        <v>#N/A</v>
      </c>
      <c r="D130" t="e">
        <f ca="1"/>
        <v>#N/A</v>
      </c>
      <c r="E130" t="e">
        <f ca="1"/>
        <v>#N/A</v>
      </c>
      <c r="F130" t="e">
        <f ca="1"/>
        <v>#N/A</v>
      </c>
      <c r="G130" t="e">
        <f ca="1"/>
        <v>#N/A</v>
      </c>
      <c r="H130" t="e">
        <f ca="1"/>
        <v>#N/A</v>
      </c>
      <c r="I130" t="e">
        <f ca="1"/>
        <v>#N/A</v>
      </c>
      <c r="J130" t="e">
        <f ca="1"/>
        <v>#N/A</v>
      </c>
      <c r="K130" t="e">
        <f ca="1"/>
        <v>#N/A</v>
      </c>
      <c r="L130" t="e">
        <f ca="1"/>
        <v>#N/A</v>
      </c>
      <c r="M130" t="e">
        <f ca="1"/>
        <v>#N/A</v>
      </c>
      <c r="N130" t="e">
        <f ca="1"/>
        <v>#N/A</v>
      </c>
      <c r="O130" t="e">
        <f ca="1"/>
        <v>#N/A</v>
      </c>
      <c r="P130" t="e">
        <f ca="1"/>
        <v>#N/A</v>
      </c>
      <c r="Q130" t="e">
        <f ca="1"/>
        <v>#N/A</v>
      </c>
      <c r="R130" t="e">
        <f ca="1"/>
        <v>#N/A</v>
      </c>
      <c r="S130" t="e">
        <f ca="1"/>
        <v>#N/A</v>
      </c>
      <c r="T130" t="e">
        <f ca="1"/>
        <v>#N/A</v>
      </c>
      <c r="U130" t="e">
        <f ca="1"/>
        <v>#N/A</v>
      </c>
    </row>
    <row r="131" spans="2:21" x14ac:dyDescent="0.25">
      <c r="B131" t="e">
        <f ca="1"/>
        <v>#N/A</v>
      </c>
      <c r="C131" t="e">
        <f ca="1"/>
        <v>#N/A</v>
      </c>
      <c r="D131" t="e">
        <f ca="1"/>
        <v>#N/A</v>
      </c>
      <c r="E131" t="e">
        <f ca="1"/>
        <v>#N/A</v>
      </c>
      <c r="F131" t="e">
        <f ca="1"/>
        <v>#N/A</v>
      </c>
      <c r="G131" t="e">
        <f ca="1"/>
        <v>#N/A</v>
      </c>
      <c r="H131" t="e">
        <f ca="1"/>
        <v>#N/A</v>
      </c>
      <c r="I131" t="e">
        <f ca="1"/>
        <v>#N/A</v>
      </c>
      <c r="J131" t="e">
        <f ca="1"/>
        <v>#N/A</v>
      </c>
      <c r="K131" t="e">
        <f ca="1"/>
        <v>#N/A</v>
      </c>
      <c r="L131" t="e">
        <f ca="1"/>
        <v>#N/A</v>
      </c>
      <c r="M131" t="e">
        <f ca="1"/>
        <v>#N/A</v>
      </c>
      <c r="N131" t="e">
        <f ca="1"/>
        <v>#N/A</v>
      </c>
      <c r="O131" t="e">
        <f ca="1"/>
        <v>#N/A</v>
      </c>
      <c r="P131" t="e">
        <f ca="1"/>
        <v>#N/A</v>
      </c>
      <c r="Q131" t="e">
        <f ca="1"/>
        <v>#N/A</v>
      </c>
      <c r="R131" t="e">
        <f ca="1"/>
        <v>#N/A</v>
      </c>
      <c r="S131" t="e">
        <f ca="1"/>
        <v>#N/A</v>
      </c>
      <c r="T131" t="e">
        <f ca="1"/>
        <v>#N/A</v>
      </c>
      <c r="U131" t="e">
        <f ca="1"/>
        <v>#N/A</v>
      </c>
    </row>
    <row r="132" spans="2:21" x14ac:dyDescent="0.25">
      <c r="B132" t="e">
        <f ca="1"/>
        <v>#N/A</v>
      </c>
      <c r="C132" t="e">
        <f ca="1"/>
        <v>#N/A</v>
      </c>
      <c r="D132" t="e">
        <f ca="1"/>
        <v>#N/A</v>
      </c>
      <c r="E132" t="e">
        <f ca="1"/>
        <v>#N/A</v>
      </c>
      <c r="F132" t="e">
        <f ca="1"/>
        <v>#N/A</v>
      </c>
      <c r="G132" t="e">
        <f ca="1"/>
        <v>#N/A</v>
      </c>
      <c r="H132" t="e">
        <f ca="1"/>
        <v>#N/A</v>
      </c>
      <c r="I132" t="e">
        <f ca="1"/>
        <v>#N/A</v>
      </c>
      <c r="J132" t="e">
        <f ca="1"/>
        <v>#N/A</v>
      </c>
      <c r="K132" t="e">
        <f ca="1"/>
        <v>#N/A</v>
      </c>
      <c r="L132" t="e">
        <f ca="1"/>
        <v>#N/A</v>
      </c>
      <c r="M132" t="e">
        <f ca="1"/>
        <v>#N/A</v>
      </c>
      <c r="N132" t="e">
        <f ca="1"/>
        <v>#N/A</v>
      </c>
      <c r="O132" t="e">
        <f ca="1"/>
        <v>#N/A</v>
      </c>
      <c r="P132" t="e">
        <f ca="1"/>
        <v>#N/A</v>
      </c>
      <c r="Q132" t="e">
        <f ca="1"/>
        <v>#N/A</v>
      </c>
      <c r="R132" t="e">
        <f ca="1"/>
        <v>#N/A</v>
      </c>
      <c r="S132" t="e">
        <f ca="1"/>
        <v>#N/A</v>
      </c>
      <c r="T132" t="e">
        <f ca="1"/>
        <v>#N/A</v>
      </c>
      <c r="U132" t="e">
        <f ca="1"/>
        <v>#N/A</v>
      </c>
    </row>
    <row r="133" spans="2:21" x14ac:dyDescent="0.25">
      <c r="B133" t="e">
        <f ca="1"/>
        <v>#N/A</v>
      </c>
      <c r="C133" t="e">
        <f ca="1"/>
        <v>#N/A</v>
      </c>
      <c r="D133" t="e">
        <f ca="1"/>
        <v>#N/A</v>
      </c>
      <c r="E133" t="e">
        <f ca="1"/>
        <v>#N/A</v>
      </c>
      <c r="F133" t="e">
        <f ca="1"/>
        <v>#N/A</v>
      </c>
      <c r="G133" t="e">
        <f ca="1"/>
        <v>#N/A</v>
      </c>
      <c r="H133" t="e">
        <f ca="1"/>
        <v>#N/A</v>
      </c>
      <c r="I133" t="e">
        <f ca="1"/>
        <v>#N/A</v>
      </c>
      <c r="J133" t="e">
        <f ca="1"/>
        <v>#N/A</v>
      </c>
      <c r="K133" t="e">
        <f ca="1"/>
        <v>#N/A</v>
      </c>
      <c r="L133" t="e">
        <f ca="1"/>
        <v>#N/A</v>
      </c>
      <c r="M133" t="e">
        <f ca="1"/>
        <v>#N/A</v>
      </c>
      <c r="N133" t="e">
        <f ca="1"/>
        <v>#N/A</v>
      </c>
      <c r="O133" t="e">
        <f ca="1"/>
        <v>#N/A</v>
      </c>
      <c r="P133" t="e">
        <f ca="1"/>
        <v>#N/A</v>
      </c>
      <c r="Q133" t="e">
        <f ca="1"/>
        <v>#N/A</v>
      </c>
      <c r="R133" t="e">
        <f ca="1"/>
        <v>#N/A</v>
      </c>
      <c r="S133" t="e">
        <f ca="1"/>
        <v>#N/A</v>
      </c>
      <c r="T133" t="e">
        <f ca="1"/>
        <v>#N/A</v>
      </c>
      <c r="U133" t="e">
        <f ca="1"/>
        <v>#N/A</v>
      </c>
    </row>
    <row r="134" spans="2:21" x14ac:dyDescent="0.25">
      <c r="B134" t="e">
        <f ca="1"/>
        <v>#N/A</v>
      </c>
      <c r="C134" t="e">
        <f ca="1"/>
        <v>#N/A</v>
      </c>
      <c r="D134" t="e">
        <f ca="1"/>
        <v>#N/A</v>
      </c>
      <c r="E134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t="e">
        <f ca="1"/>
        <v>#N/A</v>
      </c>
    </row>
    <row r="135" spans="2:21" x14ac:dyDescent="0.25">
      <c r="B135" t="e">
        <f ca="1"/>
        <v>#N/A</v>
      </c>
      <c r="C135" t="e">
        <f ca="1"/>
        <v>#N/A</v>
      </c>
      <c r="D135" t="e">
        <f ca="1"/>
        <v>#N/A</v>
      </c>
      <c r="E135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t="e">
        <f ca="1"/>
        <v>#N/A</v>
      </c>
    </row>
    <row r="136" spans="2:21" x14ac:dyDescent="0.25">
      <c r="B136" t="e">
        <f ca="1"/>
        <v>#N/A</v>
      </c>
      <c r="C136" t="e">
        <f ca="1"/>
        <v>#N/A</v>
      </c>
      <c r="D136" t="e">
        <f ca="1"/>
        <v>#N/A</v>
      </c>
      <c r="E136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t="e">
        <f ca="1"/>
        <v>#N/A</v>
      </c>
    </row>
    <row r="137" spans="2:21" x14ac:dyDescent="0.25">
      <c r="B137" t="e">
        <f ca="1"/>
        <v>#N/A</v>
      </c>
      <c r="C137" t="e">
        <f ca="1"/>
        <v>#N/A</v>
      </c>
      <c r="D137" t="e">
        <f ca="1"/>
        <v>#N/A</v>
      </c>
      <c r="E137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t="e">
        <f ca="1"/>
        <v>#N/A</v>
      </c>
    </row>
    <row r="138" spans="2:21" x14ac:dyDescent="0.25">
      <c r="B138" t="e">
        <f ca="1"/>
        <v>#N/A</v>
      </c>
      <c r="C138" t="e">
        <f ca="1"/>
        <v>#N/A</v>
      </c>
      <c r="D138" t="e">
        <f ca="1"/>
        <v>#N/A</v>
      </c>
      <c r="E138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t="e">
        <f ca="1"/>
        <v>#N/A</v>
      </c>
    </row>
    <row r="139" spans="2:21" x14ac:dyDescent="0.25">
      <c r="B139" t="e">
        <f ca="1"/>
        <v>#N/A</v>
      </c>
      <c r="C139" t="e">
        <f ca="1"/>
        <v>#N/A</v>
      </c>
      <c r="D139" t="e">
        <f ca="1"/>
        <v>#N/A</v>
      </c>
      <c r="E13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t="e">
        <f ca="1"/>
        <v>#N/A</v>
      </c>
    </row>
    <row r="140" spans="2:21" x14ac:dyDescent="0.25">
      <c r="B140" t="e">
        <f ca="1"/>
        <v>#N/A</v>
      </c>
      <c r="C140" t="e">
        <f ca="1"/>
        <v>#N/A</v>
      </c>
      <c r="D140" t="e">
        <f ca="1"/>
        <v>#N/A</v>
      </c>
      <c r="E140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  <c r="L140" t="e">
        <f ca="1"/>
        <v>#N/A</v>
      </c>
      <c r="M140" t="e">
        <f ca="1"/>
        <v>#N/A</v>
      </c>
      <c r="N140" t="e">
        <f ca="1"/>
        <v>#N/A</v>
      </c>
      <c r="O140" t="e">
        <f ca="1"/>
        <v>#N/A</v>
      </c>
      <c r="P140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t="e">
        <f ca="1"/>
        <v>#N/A</v>
      </c>
    </row>
    <row r="141" spans="2:21" x14ac:dyDescent="0.25">
      <c r="B141" t="e">
        <f ca="1"/>
        <v>#N/A</v>
      </c>
      <c r="C141" t="e">
        <f ca="1"/>
        <v>#N/A</v>
      </c>
      <c r="D141" t="e">
        <f ca="1"/>
        <v>#N/A</v>
      </c>
      <c r="E141" t="e">
        <f ca="1"/>
        <v>#N/A</v>
      </c>
      <c r="F141" t="e">
        <f ca="1"/>
        <v>#N/A</v>
      </c>
      <c r="G141" t="e">
        <f ca="1"/>
        <v>#N/A</v>
      </c>
      <c r="H141" t="e">
        <f ca="1"/>
        <v>#N/A</v>
      </c>
      <c r="I141" t="e">
        <f ca="1"/>
        <v>#N/A</v>
      </c>
      <c r="J141" t="e">
        <f ca="1"/>
        <v>#N/A</v>
      </c>
      <c r="K141" t="e">
        <f ca="1"/>
        <v>#N/A</v>
      </c>
      <c r="L141" t="e">
        <f ca="1"/>
        <v>#N/A</v>
      </c>
      <c r="M141" t="e">
        <f ca="1"/>
        <v>#N/A</v>
      </c>
      <c r="N141" t="e">
        <f ca="1"/>
        <v>#N/A</v>
      </c>
      <c r="O141" t="e">
        <f ca="1"/>
        <v>#N/A</v>
      </c>
      <c r="P141" t="e">
        <f ca="1"/>
        <v>#N/A</v>
      </c>
      <c r="Q141" t="e">
        <f ca="1"/>
        <v>#N/A</v>
      </c>
      <c r="R141" t="e">
        <f ca="1"/>
        <v>#N/A</v>
      </c>
      <c r="S141" t="e">
        <f ca="1"/>
        <v>#N/A</v>
      </c>
      <c r="T141" t="e">
        <f ca="1"/>
        <v>#N/A</v>
      </c>
      <c r="U141" t="e">
        <f ca="1"/>
        <v>#N/A</v>
      </c>
    </row>
    <row r="142" spans="2:21" x14ac:dyDescent="0.25">
      <c r="B142" t="e">
        <f ca="1"/>
        <v>#N/A</v>
      </c>
      <c r="C142" t="e">
        <f ca="1"/>
        <v>#N/A</v>
      </c>
      <c r="D142" t="e">
        <f ca="1"/>
        <v>#N/A</v>
      </c>
      <c r="E142" t="e">
        <f ca="1"/>
        <v>#N/A</v>
      </c>
      <c r="F142" t="e">
        <f ca="1"/>
        <v>#N/A</v>
      </c>
      <c r="G142" t="e">
        <f ca="1"/>
        <v>#N/A</v>
      </c>
      <c r="H142" t="e">
        <f ca="1"/>
        <v>#N/A</v>
      </c>
      <c r="I142" t="e">
        <f ca="1"/>
        <v>#N/A</v>
      </c>
      <c r="J142" t="e">
        <f ca="1"/>
        <v>#N/A</v>
      </c>
      <c r="K142" t="e">
        <f ca="1"/>
        <v>#N/A</v>
      </c>
      <c r="L142" t="e">
        <f ca="1"/>
        <v>#N/A</v>
      </c>
      <c r="M142" t="e">
        <f ca="1"/>
        <v>#N/A</v>
      </c>
      <c r="N142" t="e">
        <f ca="1"/>
        <v>#N/A</v>
      </c>
      <c r="O142" t="e">
        <f ca="1"/>
        <v>#N/A</v>
      </c>
      <c r="P142" t="e">
        <f ca="1"/>
        <v>#N/A</v>
      </c>
      <c r="Q142" t="e">
        <f ca="1"/>
        <v>#N/A</v>
      </c>
      <c r="R142" t="e">
        <f ca="1"/>
        <v>#N/A</v>
      </c>
      <c r="S142" t="e">
        <f ca="1"/>
        <v>#N/A</v>
      </c>
      <c r="T142" t="e">
        <f ca="1"/>
        <v>#N/A</v>
      </c>
      <c r="U142" t="e">
        <f ca="1"/>
        <v>#N/A</v>
      </c>
    </row>
    <row r="143" spans="2:21" x14ac:dyDescent="0.25">
      <c r="B143" t="e">
        <f ca="1"/>
        <v>#N/A</v>
      </c>
      <c r="C143" t="e">
        <f ca="1"/>
        <v>#N/A</v>
      </c>
      <c r="D143" t="e">
        <f ca="1"/>
        <v>#N/A</v>
      </c>
      <c r="E143" t="e">
        <f ca="1"/>
        <v>#N/A</v>
      </c>
      <c r="F143" t="e">
        <f ca="1"/>
        <v>#N/A</v>
      </c>
      <c r="G143" t="e">
        <f ca="1"/>
        <v>#N/A</v>
      </c>
      <c r="H143" t="e">
        <f ca="1"/>
        <v>#N/A</v>
      </c>
      <c r="I143" t="e">
        <f ca="1"/>
        <v>#N/A</v>
      </c>
      <c r="J143" t="e">
        <f ca="1"/>
        <v>#N/A</v>
      </c>
      <c r="K143" t="e">
        <f ca="1"/>
        <v>#N/A</v>
      </c>
      <c r="L143" t="e">
        <f ca="1"/>
        <v>#N/A</v>
      </c>
      <c r="M143" t="e">
        <f ca="1"/>
        <v>#N/A</v>
      </c>
      <c r="N143" t="e">
        <f ca="1"/>
        <v>#N/A</v>
      </c>
      <c r="O143" t="e">
        <f ca="1"/>
        <v>#N/A</v>
      </c>
      <c r="P143" t="e">
        <f ca="1"/>
        <v>#N/A</v>
      </c>
      <c r="Q143" t="e">
        <f ca="1"/>
        <v>#N/A</v>
      </c>
      <c r="R143" t="e">
        <f ca="1"/>
        <v>#N/A</v>
      </c>
      <c r="S143" t="e">
        <f ca="1"/>
        <v>#N/A</v>
      </c>
      <c r="T143" t="e">
        <f ca="1"/>
        <v>#N/A</v>
      </c>
      <c r="U143" t="e">
        <f ca="1"/>
        <v>#N/A</v>
      </c>
    </row>
    <row r="144" spans="2:21" x14ac:dyDescent="0.25">
      <c r="B144" t="e">
        <f ca="1"/>
        <v>#N/A</v>
      </c>
      <c r="C144" t="e">
        <f ca="1"/>
        <v>#N/A</v>
      </c>
      <c r="D144" t="e">
        <f ca="1"/>
        <v>#N/A</v>
      </c>
      <c r="E144" t="e">
        <f ca="1"/>
        <v>#N/A</v>
      </c>
      <c r="F144" t="e">
        <f ca="1"/>
        <v>#N/A</v>
      </c>
      <c r="G144" t="e">
        <f ca="1"/>
        <v>#N/A</v>
      </c>
      <c r="H144" t="e">
        <f ca="1"/>
        <v>#N/A</v>
      </c>
      <c r="I144" t="e">
        <f ca="1"/>
        <v>#N/A</v>
      </c>
      <c r="J144" t="e">
        <f ca="1"/>
        <v>#N/A</v>
      </c>
      <c r="K144" t="e">
        <f ca="1"/>
        <v>#N/A</v>
      </c>
      <c r="L144" t="e">
        <f ca="1"/>
        <v>#N/A</v>
      </c>
      <c r="M144" t="e">
        <f ca="1"/>
        <v>#N/A</v>
      </c>
      <c r="N144" t="e">
        <f ca="1"/>
        <v>#N/A</v>
      </c>
      <c r="O144" t="e">
        <f ca="1"/>
        <v>#N/A</v>
      </c>
      <c r="P144" t="e">
        <f ca="1"/>
        <v>#N/A</v>
      </c>
      <c r="Q144" t="e">
        <f ca="1"/>
        <v>#N/A</v>
      </c>
      <c r="R144" t="e">
        <f ca="1"/>
        <v>#N/A</v>
      </c>
      <c r="S144" t="e">
        <f ca="1"/>
        <v>#N/A</v>
      </c>
      <c r="T144" t="e">
        <f ca="1"/>
        <v>#N/A</v>
      </c>
      <c r="U144" t="e">
        <f ca="1"/>
        <v>#N/A</v>
      </c>
    </row>
    <row r="145" spans="2:21" x14ac:dyDescent="0.25">
      <c r="B145" t="e">
        <f ca="1"/>
        <v>#N/A</v>
      </c>
      <c r="C145" t="e">
        <f ca="1"/>
        <v>#N/A</v>
      </c>
      <c r="D145" t="e">
        <f ca="1"/>
        <v>#N/A</v>
      </c>
      <c r="E145" t="e">
        <f ca="1"/>
        <v>#N/A</v>
      </c>
      <c r="F145" t="e">
        <f ca="1"/>
        <v>#N/A</v>
      </c>
      <c r="G145" t="e">
        <f ca="1"/>
        <v>#N/A</v>
      </c>
      <c r="H145" t="e">
        <f ca="1"/>
        <v>#N/A</v>
      </c>
      <c r="I145" t="e">
        <f ca="1"/>
        <v>#N/A</v>
      </c>
      <c r="J145" t="e">
        <f ca="1"/>
        <v>#N/A</v>
      </c>
      <c r="K145" t="e">
        <f ca="1"/>
        <v>#N/A</v>
      </c>
      <c r="L145" t="e">
        <f ca="1"/>
        <v>#N/A</v>
      </c>
      <c r="M145" t="e">
        <f ca="1"/>
        <v>#N/A</v>
      </c>
      <c r="N145" t="e">
        <f ca="1"/>
        <v>#N/A</v>
      </c>
      <c r="O145" t="e">
        <f ca="1"/>
        <v>#N/A</v>
      </c>
      <c r="P145" t="e">
        <f ca="1"/>
        <v>#N/A</v>
      </c>
      <c r="Q145" t="e">
        <f ca="1"/>
        <v>#N/A</v>
      </c>
      <c r="R145" t="e">
        <f ca="1"/>
        <v>#N/A</v>
      </c>
      <c r="S145" t="e">
        <f ca="1"/>
        <v>#N/A</v>
      </c>
      <c r="T145" t="e">
        <f ca="1"/>
        <v>#N/A</v>
      </c>
      <c r="U145" t="e">
        <f ca="1"/>
        <v>#N/A</v>
      </c>
    </row>
    <row r="146" spans="2:21" x14ac:dyDescent="0.25">
      <c r="B146" t="e">
        <f ca="1"/>
        <v>#N/A</v>
      </c>
      <c r="C146" t="e">
        <f ca="1"/>
        <v>#N/A</v>
      </c>
      <c r="D146" t="e">
        <f ca="1"/>
        <v>#N/A</v>
      </c>
      <c r="E146" t="e">
        <f ca="1"/>
        <v>#N/A</v>
      </c>
      <c r="F146" t="e">
        <f ca="1"/>
        <v>#N/A</v>
      </c>
      <c r="G146" t="e">
        <f ca="1"/>
        <v>#N/A</v>
      </c>
      <c r="H146" t="e">
        <f ca="1"/>
        <v>#N/A</v>
      </c>
      <c r="I146" t="e">
        <f ca="1"/>
        <v>#N/A</v>
      </c>
      <c r="J146" t="e">
        <f ca="1"/>
        <v>#N/A</v>
      </c>
      <c r="K146" t="e">
        <f ca="1"/>
        <v>#N/A</v>
      </c>
      <c r="L146" t="e">
        <f ca="1"/>
        <v>#N/A</v>
      </c>
      <c r="M146" t="e">
        <f ca="1"/>
        <v>#N/A</v>
      </c>
      <c r="N146" t="e">
        <f ca="1"/>
        <v>#N/A</v>
      </c>
      <c r="O146" t="e">
        <f ca="1"/>
        <v>#N/A</v>
      </c>
      <c r="P146" t="e">
        <f ca="1"/>
        <v>#N/A</v>
      </c>
      <c r="Q146" t="e">
        <f ca="1"/>
        <v>#N/A</v>
      </c>
      <c r="R146" t="e">
        <f ca="1"/>
        <v>#N/A</v>
      </c>
      <c r="S146" t="e">
        <f ca="1"/>
        <v>#N/A</v>
      </c>
      <c r="T146" t="e">
        <f ca="1"/>
        <v>#N/A</v>
      </c>
      <c r="U146" t="e">
        <f ca="1"/>
        <v>#N/A</v>
      </c>
    </row>
    <row r="147" spans="2:21" x14ac:dyDescent="0.25">
      <c r="B147" t="e">
        <f ca="1"/>
        <v>#N/A</v>
      </c>
      <c r="C147" t="e">
        <f ca="1"/>
        <v>#N/A</v>
      </c>
      <c r="D147" t="e">
        <f ca="1"/>
        <v>#N/A</v>
      </c>
      <c r="E147" t="e">
        <f ca="1"/>
        <v>#N/A</v>
      </c>
      <c r="F147" t="e">
        <f ca="1"/>
        <v>#N/A</v>
      </c>
      <c r="G147" t="e">
        <f ca="1"/>
        <v>#N/A</v>
      </c>
      <c r="H147" t="e">
        <f ca="1"/>
        <v>#N/A</v>
      </c>
      <c r="I147" t="e">
        <f ca="1"/>
        <v>#N/A</v>
      </c>
      <c r="J147" t="e">
        <f ca="1"/>
        <v>#N/A</v>
      </c>
      <c r="K147" t="e">
        <f ca="1"/>
        <v>#N/A</v>
      </c>
      <c r="L147" t="e">
        <f ca="1"/>
        <v>#N/A</v>
      </c>
      <c r="M147" t="e">
        <f ca="1"/>
        <v>#N/A</v>
      </c>
      <c r="N147" t="e">
        <f ca="1"/>
        <v>#N/A</v>
      </c>
      <c r="O147" t="e">
        <f ca="1"/>
        <v>#N/A</v>
      </c>
      <c r="P147" t="e">
        <f ca="1"/>
        <v>#N/A</v>
      </c>
      <c r="Q147" t="e">
        <f ca="1"/>
        <v>#N/A</v>
      </c>
      <c r="R147" t="e">
        <f ca="1"/>
        <v>#N/A</v>
      </c>
      <c r="S147" t="e">
        <f ca="1"/>
        <v>#N/A</v>
      </c>
      <c r="T147" t="e">
        <f ca="1"/>
        <v>#N/A</v>
      </c>
      <c r="U147" t="e">
        <f ca="1"/>
        <v>#N/A</v>
      </c>
    </row>
    <row r="148" spans="2:21" x14ac:dyDescent="0.25">
      <c r="B148" t="e">
        <f ca="1"/>
        <v>#N/A</v>
      </c>
      <c r="C148" t="e">
        <f ca="1"/>
        <v>#N/A</v>
      </c>
      <c r="D148" t="e">
        <f ca="1"/>
        <v>#N/A</v>
      </c>
      <c r="E148" t="e">
        <f ca="1"/>
        <v>#N/A</v>
      </c>
      <c r="F148" t="e">
        <f ca="1"/>
        <v>#N/A</v>
      </c>
      <c r="G148" t="e">
        <f ca="1"/>
        <v>#N/A</v>
      </c>
      <c r="H148" t="e">
        <f ca="1"/>
        <v>#N/A</v>
      </c>
      <c r="I148" t="e">
        <f ca="1"/>
        <v>#N/A</v>
      </c>
      <c r="J148" t="e">
        <f ca="1"/>
        <v>#N/A</v>
      </c>
      <c r="K148" t="e">
        <f ca="1"/>
        <v>#N/A</v>
      </c>
      <c r="L148" t="e">
        <f ca="1"/>
        <v>#N/A</v>
      </c>
      <c r="M148" t="e">
        <f ca="1"/>
        <v>#N/A</v>
      </c>
      <c r="N148" t="e">
        <f ca="1"/>
        <v>#N/A</v>
      </c>
      <c r="O148" t="e">
        <f ca="1"/>
        <v>#N/A</v>
      </c>
      <c r="P148" t="e">
        <f ca="1"/>
        <v>#N/A</v>
      </c>
      <c r="Q148" t="e">
        <f ca="1"/>
        <v>#N/A</v>
      </c>
      <c r="R148" t="e">
        <f ca="1"/>
        <v>#N/A</v>
      </c>
      <c r="S148" t="e">
        <f ca="1"/>
        <v>#N/A</v>
      </c>
      <c r="T148" t="e">
        <f ca="1"/>
        <v>#N/A</v>
      </c>
      <c r="U148" t="e">
        <f ca="1"/>
        <v>#N/A</v>
      </c>
    </row>
    <row r="149" spans="2:21" x14ac:dyDescent="0.25">
      <c r="B149" t="e">
        <f ca="1"/>
        <v>#N/A</v>
      </c>
      <c r="C149" t="e">
        <f ca="1"/>
        <v>#N/A</v>
      </c>
      <c r="D149" t="e">
        <f ca="1"/>
        <v>#N/A</v>
      </c>
      <c r="E149" t="e">
        <f ca="1"/>
        <v>#N/A</v>
      </c>
      <c r="F149" t="e">
        <f ca="1"/>
        <v>#N/A</v>
      </c>
      <c r="G149" t="e">
        <f ca="1"/>
        <v>#N/A</v>
      </c>
      <c r="H149" t="e">
        <f ca="1"/>
        <v>#N/A</v>
      </c>
      <c r="I149" t="e">
        <f ca="1"/>
        <v>#N/A</v>
      </c>
      <c r="J149" t="e">
        <f ca="1"/>
        <v>#N/A</v>
      </c>
      <c r="K149" t="e">
        <f ca="1"/>
        <v>#N/A</v>
      </c>
      <c r="L149" t="e">
        <f ca="1"/>
        <v>#N/A</v>
      </c>
      <c r="M149" t="e">
        <f ca="1"/>
        <v>#N/A</v>
      </c>
      <c r="N149" t="e">
        <f ca="1"/>
        <v>#N/A</v>
      </c>
      <c r="O149" t="e">
        <f ca="1"/>
        <v>#N/A</v>
      </c>
      <c r="P149" t="e">
        <f ca="1"/>
        <v>#N/A</v>
      </c>
      <c r="Q149" t="e">
        <f ca="1"/>
        <v>#N/A</v>
      </c>
      <c r="R149" t="e">
        <f ca="1"/>
        <v>#N/A</v>
      </c>
      <c r="S149" t="e">
        <f ca="1"/>
        <v>#N/A</v>
      </c>
      <c r="T149" t="e">
        <f ca="1"/>
        <v>#N/A</v>
      </c>
      <c r="U149" t="e">
        <f ca="1"/>
        <v>#N/A</v>
      </c>
    </row>
    <row r="150" spans="2:21" x14ac:dyDescent="0.25">
      <c r="B150" t="e">
        <f ca="1"/>
        <v>#N/A</v>
      </c>
      <c r="C150" t="e">
        <f ca="1"/>
        <v>#N/A</v>
      </c>
      <c r="D150" t="e">
        <f ca="1"/>
        <v>#N/A</v>
      </c>
      <c r="E150" t="e">
        <f ca="1"/>
        <v>#N/A</v>
      </c>
      <c r="F150" t="e">
        <f ca="1"/>
        <v>#N/A</v>
      </c>
      <c r="G150" t="e">
        <f ca="1"/>
        <v>#N/A</v>
      </c>
      <c r="H150" t="e">
        <f ca="1"/>
        <v>#N/A</v>
      </c>
      <c r="I150" t="e">
        <f ca="1"/>
        <v>#N/A</v>
      </c>
      <c r="J150" t="e">
        <f ca="1"/>
        <v>#N/A</v>
      </c>
      <c r="K150" t="e">
        <f ca="1"/>
        <v>#N/A</v>
      </c>
      <c r="L150" t="e">
        <f ca="1"/>
        <v>#N/A</v>
      </c>
      <c r="M150" t="e">
        <f ca="1"/>
        <v>#N/A</v>
      </c>
      <c r="N150" t="e">
        <f ca="1"/>
        <v>#N/A</v>
      </c>
      <c r="O150" t="e">
        <f ca="1"/>
        <v>#N/A</v>
      </c>
      <c r="P150" t="e">
        <f ca="1"/>
        <v>#N/A</v>
      </c>
      <c r="Q150" t="e">
        <f ca="1"/>
        <v>#N/A</v>
      </c>
      <c r="R150" t="e">
        <f ca="1"/>
        <v>#N/A</v>
      </c>
      <c r="S150" t="e">
        <f ca="1"/>
        <v>#N/A</v>
      </c>
      <c r="T150" t="e">
        <f ca="1"/>
        <v>#N/A</v>
      </c>
      <c r="U150" t="e">
        <f ca="1"/>
        <v>#N/A</v>
      </c>
    </row>
    <row r="151" spans="2:21" x14ac:dyDescent="0.25">
      <c r="B151" t="e">
        <f ca="1"/>
        <v>#N/A</v>
      </c>
      <c r="C151" t="e">
        <f ca="1"/>
        <v>#N/A</v>
      </c>
      <c r="D151" t="e">
        <f ca="1"/>
        <v>#N/A</v>
      </c>
      <c r="E151" t="e">
        <f ca="1"/>
        <v>#N/A</v>
      </c>
      <c r="F151" t="e">
        <f ca="1"/>
        <v>#N/A</v>
      </c>
      <c r="G151" t="e">
        <f ca="1"/>
        <v>#N/A</v>
      </c>
      <c r="H151" t="e">
        <f ca="1"/>
        <v>#N/A</v>
      </c>
      <c r="I151" t="e">
        <f ca="1"/>
        <v>#N/A</v>
      </c>
      <c r="J151" t="e">
        <f ca="1"/>
        <v>#N/A</v>
      </c>
      <c r="K151" t="e">
        <f ca="1"/>
        <v>#N/A</v>
      </c>
      <c r="L151" t="e">
        <f ca="1"/>
        <v>#N/A</v>
      </c>
      <c r="M151" t="e">
        <f ca="1"/>
        <v>#N/A</v>
      </c>
      <c r="N151" t="e">
        <f ca="1"/>
        <v>#N/A</v>
      </c>
      <c r="O151" t="e">
        <f ca="1"/>
        <v>#N/A</v>
      </c>
      <c r="P151" t="e">
        <f ca="1"/>
        <v>#N/A</v>
      </c>
      <c r="Q151" t="e">
        <f ca="1"/>
        <v>#N/A</v>
      </c>
      <c r="R151" t="e">
        <f ca="1"/>
        <v>#N/A</v>
      </c>
      <c r="S151" t="e">
        <f ca="1"/>
        <v>#N/A</v>
      </c>
      <c r="T151" t="e">
        <f ca="1"/>
        <v>#N/A</v>
      </c>
      <c r="U151" t="e">
        <f ca="1"/>
        <v>#N/A</v>
      </c>
    </row>
    <row r="152" spans="2:21" x14ac:dyDescent="0.25">
      <c r="B152" t="e">
        <f ca="1"/>
        <v>#N/A</v>
      </c>
      <c r="C152" t="e">
        <f ca="1"/>
        <v>#N/A</v>
      </c>
      <c r="D152" t="e">
        <f ca="1"/>
        <v>#N/A</v>
      </c>
      <c r="E152" t="e">
        <f ca="1"/>
        <v>#N/A</v>
      </c>
      <c r="F152" t="e">
        <f ca="1"/>
        <v>#N/A</v>
      </c>
      <c r="G152" t="e">
        <f ca="1"/>
        <v>#N/A</v>
      </c>
      <c r="H152" t="e">
        <f ca="1"/>
        <v>#N/A</v>
      </c>
      <c r="I152" t="e">
        <f ca="1"/>
        <v>#N/A</v>
      </c>
      <c r="J152" t="e">
        <f ca="1"/>
        <v>#N/A</v>
      </c>
      <c r="K152" t="e">
        <f ca="1"/>
        <v>#N/A</v>
      </c>
      <c r="L152" t="e">
        <f ca="1"/>
        <v>#N/A</v>
      </c>
      <c r="M152" t="e">
        <f ca="1"/>
        <v>#N/A</v>
      </c>
      <c r="N152" t="e">
        <f ca="1"/>
        <v>#N/A</v>
      </c>
      <c r="O152" t="e">
        <f ca="1"/>
        <v>#N/A</v>
      </c>
      <c r="P152" t="e">
        <f ca="1"/>
        <v>#N/A</v>
      </c>
      <c r="Q152" t="e">
        <f ca="1"/>
        <v>#N/A</v>
      </c>
      <c r="R152" t="e">
        <f ca="1"/>
        <v>#N/A</v>
      </c>
      <c r="S152" t="e">
        <f ca="1"/>
        <v>#N/A</v>
      </c>
      <c r="T152" t="e">
        <f ca="1"/>
        <v>#N/A</v>
      </c>
      <c r="U152" t="e">
        <f ca="1"/>
        <v>#N/A</v>
      </c>
    </row>
    <row r="153" spans="2:21" x14ac:dyDescent="0.25">
      <c r="B153" t="e">
        <f ca="1"/>
        <v>#N/A</v>
      </c>
      <c r="C153" t="e">
        <f ca="1"/>
        <v>#N/A</v>
      </c>
      <c r="D153" t="e">
        <f ca="1"/>
        <v>#N/A</v>
      </c>
      <c r="E153" t="e">
        <f ca="1"/>
        <v>#N/A</v>
      </c>
      <c r="F153" t="e">
        <f ca="1"/>
        <v>#N/A</v>
      </c>
      <c r="G153" t="e">
        <f ca="1"/>
        <v>#N/A</v>
      </c>
      <c r="H153" t="e">
        <f ca="1"/>
        <v>#N/A</v>
      </c>
      <c r="I153" t="e">
        <f ca="1"/>
        <v>#N/A</v>
      </c>
      <c r="J153" t="e">
        <f ca="1"/>
        <v>#N/A</v>
      </c>
      <c r="K153" t="e">
        <f ca="1"/>
        <v>#N/A</v>
      </c>
      <c r="L153" t="e">
        <f ca="1"/>
        <v>#N/A</v>
      </c>
      <c r="M153" t="e">
        <f ca="1"/>
        <v>#N/A</v>
      </c>
      <c r="N153" t="e">
        <f ca="1"/>
        <v>#N/A</v>
      </c>
      <c r="O153" t="e">
        <f ca="1"/>
        <v>#N/A</v>
      </c>
      <c r="P153" t="e">
        <f ca="1"/>
        <v>#N/A</v>
      </c>
      <c r="Q153" t="e">
        <f ca="1"/>
        <v>#N/A</v>
      </c>
      <c r="R153" t="e">
        <f ca="1"/>
        <v>#N/A</v>
      </c>
      <c r="S153" t="e">
        <f ca="1"/>
        <v>#N/A</v>
      </c>
      <c r="T153" t="e">
        <f ca="1"/>
        <v>#N/A</v>
      </c>
      <c r="U153" t="e">
        <f ca="1"/>
        <v>#N/A</v>
      </c>
    </row>
    <row r="154" spans="2:21" x14ac:dyDescent="0.25">
      <c r="B154" t="e">
        <f ca="1"/>
        <v>#N/A</v>
      </c>
      <c r="C154" t="e">
        <f ca="1"/>
        <v>#N/A</v>
      </c>
      <c r="D154" t="e">
        <f ca="1"/>
        <v>#N/A</v>
      </c>
      <c r="E154" t="e">
        <f ca="1"/>
        <v>#N/A</v>
      </c>
      <c r="F154" t="e">
        <f ca="1"/>
        <v>#N/A</v>
      </c>
      <c r="G154" t="e">
        <f ca="1"/>
        <v>#N/A</v>
      </c>
      <c r="H154" t="e">
        <f ca="1"/>
        <v>#N/A</v>
      </c>
      <c r="I154" t="e">
        <f ca="1"/>
        <v>#N/A</v>
      </c>
      <c r="J154" t="e">
        <f ca="1"/>
        <v>#N/A</v>
      </c>
      <c r="K154" t="e">
        <f ca="1"/>
        <v>#N/A</v>
      </c>
      <c r="L154" t="e">
        <f ca="1"/>
        <v>#N/A</v>
      </c>
      <c r="M154" t="e">
        <f ca="1"/>
        <v>#N/A</v>
      </c>
      <c r="N154" t="e">
        <f ca="1"/>
        <v>#N/A</v>
      </c>
      <c r="O154" t="e">
        <f ca="1"/>
        <v>#N/A</v>
      </c>
      <c r="P154" t="e">
        <f ca="1"/>
        <v>#N/A</v>
      </c>
      <c r="Q154" t="e">
        <f ca="1"/>
        <v>#N/A</v>
      </c>
      <c r="R154" t="e">
        <f ca="1"/>
        <v>#N/A</v>
      </c>
      <c r="S154" t="e">
        <f ca="1"/>
        <v>#N/A</v>
      </c>
      <c r="T154" t="e">
        <f ca="1"/>
        <v>#N/A</v>
      </c>
      <c r="U154" t="e">
        <f ca="1"/>
        <v>#N/A</v>
      </c>
    </row>
    <row r="155" spans="2:21" x14ac:dyDescent="0.25">
      <c r="B155" t="e">
        <f ca="1"/>
        <v>#N/A</v>
      </c>
      <c r="C155" t="e">
        <f ca="1"/>
        <v>#N/A</v>
      </c>
      <c r="D155" t="e">
        <f ca="1"/>
        <v>#N/A</v>
      </c>
      <c r="E155" t="e">
        <f ca="1"/>
        <v>#N/A</v>
      </c>
      <c r="F155" t="e">
        <f ca="1"/>
        <v>#N/A</v>
      </c>
      <c r="G155" t="e">
        <f ca="1"/>
        <v>#N/A</v>
      </c>
      <c r="H155" t="e">
        <f ca="1"/>
        <v>#N/A</v>
      </c>
      <c r="I155" t="e">
        <f ca="1"/>
        <v>#N/A</v>
      </c>
      <c r="J155" t="e">
        <f ca="1"/>
        <v>#N/A</v>
      </c>
      <c r="K155" t="e">
        <f ca="1"/>
        <v>#N/A</v>
      </c>
      <c r="L155" t="e">
        <f ca="1"/>
        <v>#N/A</v>
      </c>
      <c r="M155" t="e">
        <f ca="1"/>
        <v>#N/A</v>
      </c>
      <c r="N155" t="e">
        <f ca="1"/>
        <v>#N/A</v>
      </c>
      <c r="O155" t="e">
        <f ca="1"/>
        <v>#N/A</v>
      </c>
      <c r="P155" t="e">
        <f ca="1"/>
        <v>#N/A</v>
      </c>
      <c r="Q155" t="e">
        <f ca="1"/>
        <v>#N/A</v>
      </c>
      <c r="R155" t="e">
        <f ca="1"/>
        <v>#N/A</v>
      </c>
      <c r="S155" t="e">
        <f ca="1"/>
        <v>#N/A</v>
      </c>
      <c r="T155" t="e">
        <f ca="1"/>
        <v>#N/A</v>
      </c>
      <c r="U155" t="e">
        <f ca="1"/>
        <v>#N/A</v>
      </c>
    </row>
    <row r="156" spans="2:21" x14ac:dyDescent="0.25">
      <c r="B156" t="e">
        <f ca="1"/>
        <v>#N/A</v>
      </c>
      <c r="C156" t="e">
        <f ca="1"/>
        <v>#N/A</v>
      </c>
      <c r="D156" t="e">
        <f ca="1"/>
        <v>#N/A</v>
      </c>
      <c r="E156" t="e">
        <f ca="1"/>
        <v>#N/A</v>
      </c>
      <c r="F156" t="e">
        <f ca="1"/>
        <v>#N/A</v>
      </c>
      <c r="G156" t="e">
        <f ca="1"/>
        <v>#N/A</v>
      </c>
      <c r="H156" t="e">
        <f ca="1"/>
        <v>#N/A</v>
      </c>
      <c r="I156" t="e">
        <f ca="1"/>
        <v>#N/A</v>
      </c>
      <c r="J156" t="e">
        <f ca="1"/>
        <v>#N/A</v>
      </c>
      <c r="K156" t="e">
        <f ca="1"/>
        <v>#N/A</v>
      </c>
      <c r="L156" t="e">
        <f ca="1"/>
        <v>#N/A</v>
      </c>
      <c r="M156" t="e">
        <f ca="1"/>
        <v>#N/A</v>
      </c>
      <c r="N156" t="e">
        <f ca="1"/>
        <v>#N/A</v>
      </c>
      <c r="O156" t="e">
        <f ca="1"/>
        <v>#N/A</v>
      </c>
      <c r="P156" t="e">
        <f ca="1"/>
        <v>#N/A</v>
      </c>
      <c r="Q156" t="e">
        <f ca="1"/>
        <v>#N/A</v>
      </c>
      <c r="R156" t="e">
        <f ca="1"/>
        <v>#N/A</v>
      </c>
      <c r="S156" t="e">
        <f ca="1"/>
        <v>#N/A</v>
      </c>
      <c r="T156" t="e">
        <f ca="1"/>
        <v>#N/A</v>
      </c>
      <c r="U156" t="e">
        <f ca="1"/>
        <v>#N/A</v>
      </c>
    </row>
    <row r="157" spans="2:21" x14ac:dyDescent="0.25">
      <c r="B157" t="e">
        <f ca="1"/>
        <v>#N/A</v>
      </c>
      <c r="C157" t="e">
        <f ca="1"/>
        <v>#N/A</v>
      </c>
      <c r="D157" t="e">
        <f ca="1"/>
        <v>#N/A</v>
      </c>
      <c r="E157" t="e">
        <f ca="1"/>
        <v>#N/A</v>
      </c>
      <c r="F157" t="e">
        <f ca="1"/>
        <v>#N/A</v>
      </c>
      <c r="G157" t="e">
        <f ca="1"/>
        <v>#N/A</v>
      </c>
      <c r="H157" t="e">
        <f ca="1"/>
        <v>#N/A</v>
      </c>
      <c r="I157" t="e">
        <f ca="1"/>
        <v>#N/A</v>
      </c>
      <c r="J157" t="e">
        <f ca="1"/>
        <v>#N/A</v>
      </c>
      <c r="K157" t="e">
        <f ca="1"/>
        <v>#N/A</v>
      </c>
      <c r="L157" t="e">
        <f ca="1"/>
        <v>#N/A</v>
      </c>
      <c r="M157" t="e">
        <f ca="1"/>
        <v>#N/A</v>
      </c>
      <c r="N157" t="e">
        <f ca="1"/>
        <v>#N/A</v>
      </c>
      <c r="O157" t="e">
        <f ca="1"/>
        <v>#N/A</v>
      </c>
      <c r="P157" t="e">
        <f ca="1"/>
        <v>#N/A</v>
      </c>
      <c r="Q157" t="e">
        <f ca="1"/>
        <v>#N/A</v>
      </c>
      <c r="R157" t="e">
        <f ca="1"/>
        <v>#N/A</v>
      </c>
      <c r="S157" t="e">
        <f ca="1"/>
        <v>#N/A</v>
      </c>
      <c r="T157" t="e">
        <f ca="1"/>
        <v>#N/A</v>
      </c>
      <c r="U157" t="e">
        <f ca="1"/>
        <v>#N/A</v>
      </c>
    </row>
    <row r="158" spans="2:21" x14ac:dyDescent="0.25">
      <c r="B158" t="e">
        <f ca="1"/>
        <v>#N/A</v>
      </c>
      <c r="C158" t="e">
        <f ca="1"/>
        <v>#N/A</v>
      </c>
      <c r="D158" t="e">
        <f ca="1"/>
        <v>#N/A</v>
      </c>
      <c r="E158" t="e">
        <f ca="1"/>
        <v>#N/A</v>
      </c>
      <c r="F158" t="e">
        <f ca="1"/>
        <v>#N/A</v>
      </c>
      <c r="G158" t="e">
        <f ca="1"/>
        <v>#N/A</v>
      </c>
      <c r="H158" t="e">
        <f ca="1"/>
        <v>#N/A</v>
      </c>
      <c r="I158" t="e">
        <f ca="1"/>
        <v>#N/A</v>
      </c>
      <c r="J158" t="e">
        <f ca="1"/>
        <v>#N/A</v>
      </c>
      <c r="K158" t="e">
        <f ca="1"/>
        <v>#N/A</v>
      </c>
      <c r="L158" t="e">
        <f ca="1"/>
        <v>#N/A</v>
      </c>
      <c r="M158" t="e">
        <f ca="1"/>
        <v>#N/A</v>
      </c>
      <c r="N158" t="e">
        <f ca="1"/>
        <v>#N/A</v>
      </c>
      <c r="O158" t="e">
        <f ca="1"/>
        <v>#N/A</v>
      </c>
      <c r="P158" t="e">
        <f ca="1"/>
        <v>#N/A</v>
      </c>
      <c r="Q158" t="e">
        <f ca="1"/>
        <v>#N/A</v>
      </c>
      <c r="R158" t="e">
        <f ca="1"/>
        <v>#N/A</v>
      </c>
      <c r="S158" t="e">
        <f ca="1"/>
        <v>#N/A</v>
      </c>
      <c r="T158" t="e">
        <f ca="1"/>
        <v>#N/A</v>
      </c>
      <c r="U158" t="e">
        <f ca="1"/>
        <v>#N/A</v>
      </c>
    </row>
    <row r="159" spans="2:21" x14ac:dyDescent="0.25">
      <c r="B159" t="e">
        <f ca="1"/>
        <v>#N/A</v>
      </c>
      <c r="C159" t="e">
        <f ca="1"/>
        <v>#N/A</v>
      </c>
      <c r="D159" t="e">
        <f ca="1"/>
        <v>#N/A</v>
      </c>
      <c r="E159" t="e">
        <f ca="1"/>
        <v>#N/A</v>
      </c>
      <c r="F159" t="e">
        <f ca="1"/>
        <v>#N/A</v>
      </c>
      <c r="G159" t="e">
        <f ca="1"/>
        <v>#N/A</v>
      </c>
      <c r="H159" t="e">
        <f ca="1"/>
        <v>#N/A</v>
      </c>
      <c r="I159" t="e">
        <f ca="1"/>
        <v>#N/A</v>
      </c>
      <c r="J159" t="e">
        <f ca="1"/>
        <v>#N/A</v>
      </c>
      <c r="K159" t="e">
        <f ca="1"/>
        <v>#N/A</v>
      </c>
      <c r="L159" t="e">
        <f ca="1"/>
        <v>#N/A</v>
      </c>
      <c r="M159" t="e">
        <f ca="1"/>
        <v>#N/A</v>
      </c>
      <c r="N159" t="e">
        <f ca="1"/>
        <v>#N/A</v>
      </c>
      <c r="O159" t="e">
        <f ca="1"/>
        <v>#N/A</v>
      </c>
      <c r="P159" t="e">
        <f ca="1"/>
        <v>#N/A</v>
      </c>
      <c r="Q159" t="e">
        <f ca="1"/>
        <v>#N/A</v>
      </c>
      <c r="R159" t="e">
        <f ca="1"/>
        <v>#N/A</v>
      </c>
      <c r="S159" t="e">
        <f ca="1"/>
        <v>#N/A</v>
      </c>
      <c r="T159" t="e">
        <f ca="1"/>
        <v>#N/A</v>
      </c>
      <c r="U159" t="e">
        <f ca="1"/>
        <v>#N/A</v>
      </c>
    </row>
    <row r="160" spans="2:21" x14ac:dyDescent="0.25">
      <c r="B160" t="e">
        <f ca="1"/>
        <v>#N/A</v>
      </c>
      <c r="C160" t="e">
        <f ca="1"/>
        <v>#N/A</v>
      </c>
      <c r="D160" t="e">
        <f ca="1"/>
        <v>#N/A</v>
      </c>
      <c r="E160" t="e">
        <f ca="1"/>
        <v>#N/A</v>
      </c>
      <c r="F160" t="e">
        <f ca="1"/>
        <v>#N/A</v>
      </c>
      <c r="G160" t="e">
        <f ca="1"/>
        <v>#N/A</v>
      </c>
      <c r="H160" t="e">
        <f ca="1"/>
        <v>#N/A</v>
      </c>
      <c r="I160" t="e">
        <f ca="1"/>
        <v>#N/A</v>
      </c>
      <c r="J160" t="e">
        <f ca="1"/>
        <v>#N/A</v>
      </c>
      <c r="K160" t="e">
        <f ca="1"/>
        <v>#N/A</v>
      </c>
      <c r="L160" t="e">
        <f ca="1"/>
        <v>#N/A</v>
      </c>
      <c r="M160" t="e">
        <f ca="1"/>
        <v>#N/A</v>
      </c>
      <c r="N160" t="e">
        <f ca="1"/>
        <v>#N/A</v>
      </c>
      <c r="O160" t="e">
        <f ca="1"/>
        <v>#N/A</v>
      </c>
      <c r="P160" t="e">
        <f ca="1"/>
        <v>#N/A</v>
      </c>
      <c r="Q160" t="e">
        <f ca="1"/>
        <v>#N/A</v>
      </c>
      <c r="R160" t="e">
        <f ca="1"/>
        <v>#N/A</v>
      </c>
      <c r="S160" t="e">
        <f ca="1"/>
        <v>#N/A</v>
      </c>
      <c r="T160" t="e">
        <f ca="1"/>
        <v>#N/A</v>
      </c>
      <c r="U160" t="e">
        <f ca="1"/>
        <v>#N/A</v>
      </c>
    </row>
    <row r="161" spans="2:21" x14ac:dyDescent="0.25">
      <c r="B161" t="e">
        <f ca="1"/>
        <v>#N/A</v>
      </c>
      <c r="C161" t="e">
        <f ca="1"/>
        <v>#N/A</v>
      </c>
      <c r="D161" t="e">
        <f ca="1"/>
        <v>#N/A</v>
      </c>
      <c r="E161" t="e">
        <f ca="1"/>
        <v>#N/A</v>
      </c>
      <c r="F161" t="e">
        <f ca="1"/>
        <v>#N/A</v>
      </c>
      <c r="G161" t="e">
        <f ca="1"/>
        <v>#N/A</v>
      </c>
      <c r="H161" t="e">
        <f ca="1"/>
        <v>#N/A</v>
      </c>
      <c r="I161" t="e">
        <f ca="1"/>
        <v>#N/A</v>
      </c>
      <c r="J161" t="e">
        <f ca="1"/>
        <v>#N/A</v>
      </c>
      <c r="K161" t="e">
        <f ca="1"/>
        <v>#N/A</v>
      </c>
      <c r="L161" t="e">
        <f ca="1"/>
        <v>#N/A</v>
      </c>
      <c r="M161" t="e">
        <f ca="1"/>
        <v>#N/A</v>
      </c>
      <c r="N161" t="e">
        <f ca="1"/>
        <v>#N/A</v>
      </c>
      <c r="O161" t="e">
        <f ca="1"/>
        <v>#N/A</v>
      </c>
      <c r="P161" t="e">
        <f ca="1"/>
        <v>#N/A</v>
      </c>
      <c r="Q161" t="e">
        <f ca="1"/>
        <v>#N/A</v>
      </c>
      <c r="R161" t="e">
        <f ca="1"/>
        <v>#N/A</v>
      </c>
      <c r="S161" t="e">
        <f ca="1"/>
        <v>#N/A</v>
      </c>
      <c r="T161" t="e">
        <f ca="1"/>
        <v>#N/A</v>
      </c>
      <c r="U161" t="e">
        <f ca="1"/>
        <v>#N/A</v>
      </c>
    </row>
    <row r="162" spans="2:21" x14ac:dyDescent="0.25">
      <c r="B162" t="e">
        <f ca="1"/>
        <v>#N/A</v>
      </c>
      <c r="C162" t="e">
        <f ca="1"/>
        <v>#N/A</v>
      </c>
      <c r="D162" t="e">
        <f ca="1"/>
        <v>#N/A</v>
      </c>
      <c r="E162" t="e">
        <f ca="1"/>
        <v>#N/A</v>
      </c>
      <c r="F162" t="e">
        <f ca="1"/>
        <v>#N/A</v>
      </c>
      <c r="G162" t="e">
        <f ca="1"/>
        <v>#N/A</v>
      </c>
      <c r="H162" t="e">
        <f ca="1"/>
        <v>#N/A</v>
      </c>
      <c r="I162" t="e">
        <f ca="1"/>
        <v>#N/A</v>
      </c>
      <c r="J162" t="e">
        <f ca="1"/>
        <v>#N/A</v>
      </c>
      <c r="K162" t="e">
        <f ca="1"/>
        <v>#N/A</v>
      </c>
      <c r="L162" t="e">
        <f ca="1"/>
        <v>#N/A</v>
      </c>
      <c r="M162" t="e">
        <f ca="1"/>
        <v>#N/A</v>
      </c>
      <c r="N162" t="e">
        <f ca="1"/>
        <v>#N/A</v>
      </c>
      <c r="O162" t="e">
        <f ca="1"/>
        <v>#N/A</v>
      </c>
      <c r="P162" t="e">
        <f ca="1"/>
        <v>#N/A</v>
      </c>
      <c r="Q162" t="e">
        <f ca="1"/>
        <v>#N/A</v>
      </c>
      <c r="R162" t="e">
        <f ca="1"/>
        <v>#N/A</v>
      </c>
      <c r="S162" t="e">
        <f ca="1"/>
        <v>#N/A</v>
      </c>
      <c r="T162" t="e">
        <f ca="1"/>
        <v>#N/A</v>
      </c>
      <c r="U162" t="e">
        <f ca="1"/>
        <v>#N/A</v>
      </c>
    </row>
    <row r="163" spans="2:21" x14ac:dyDescent="0.25">
      <c r="B163" t="e">
        <f ca="1"/>
        <v>#N/A</v>
      </c>
      <c r="C163" t="e">
        <f ca="1"/>
        <v>#N/A</v>
      </c>
      <c r="D163" t="e">
        <f ca="1"/>
        <v>#N/A</v>
      </c>
      <c r="E163" t="e">
        <f ca="1"/>
        <v>#N/A</v>
      </c>
      <c r="F163" t="e">
        <f ca="1"/>
        <v>#N/A</v>
      </c>
      <c r="G163" t="e">
        <f ca="1"/>
        <v>#N/A</v>
      </c>
      <c r="H163" t="e">
        <f ca="1"/>
        <v>#N/A</v>
      </c>
      <c r="I163" t="e">
        <f ca="1"/>
        <v>#N/A</v>
      </c>
      <c r="J163" t="e">
        <f ca="1"/>
        <v>#N/A</v>
      </c>
      <c r="K163" t="e">
        <f ca="1"/>
        <v>#N/A</v>
      </c>
      <c r="L163" t="e">
        <f ca="1"/>
        <v>#N/A</v>
      </c>
      <c r="M163" t="e">
        <f ca="1"/>
        <v>#N/A</v>
      </c>
      <c r="N163" t="e">
        <f ca="1"/>
        <v>#N/A</v>
      </c>
      <c r="O163" t="e">
        <f ca="1"/>
        <v>#N/A</v>
      </c>
      <c r="P163" t="e">
        <f ca="1"/>
        <v>#N/A</v>
      </c>
      <c r="Q163" t="e">
        <f ca="1"/>
        <v>#N/A</v>
      </c>
      <c r="R163" t="e">
        <f ca="1"/>
        <v>#N/A</v>
      </c>
      <c r="S163" t="e">
        <f ca="1"/>
        <v>#N/A</v>
      </c>
      <c r="T163" t="e">
        <f ca="1"/>
        <v>#N/A</v>
      </c>
      <c r="U163" t="e">
        <f ca="1"/>
        <v>#N/A</v>
      </c>
    </row>
    <row r="164" spans="2:21" x14ac:dyDescent="0.25">
      <c r="B164" t="e">
        <f ca="1"/>
        <v>#N/A</v>
      </c>
      <c r="C164" t="e">
        <f ca="1"/>
        <v>#N/A</v>
      </c>
      <c r="D164" t="e">
        <f ca="1"/>
        <v>#N/A</v>
      </c>
      <c r="E164" t="e">
        <f ca="1"/>
        <v>#N/A</v>
      </c>
      <c r="F164" t="e">
        <f ca="1"/>
        <v>#N/A</v>
      </c>
      <c r="G164" t="e">
        <f ca="1"/>
        <v>#N/A</v>
      </c>
      <c r="H164" t="e">
        <f ca="1"/>
        <v>#N/A</v>
      </c>
      <c r="I164" t="e">
        <f ca="1"/>
        <v>#N/A</v>
      </c>
      <c r="J164" t="e">
        <f ca="1"/>
        <v>#N/A</v>
      </c>
      <c r="K164" t="e">
        <f ca="1"/>
        <v>#N/A</v>
      </c>
      <c r="L164" t="e">
        <f ca="1"/>
        <v>#N/A</v>
      </c>
      <c r="M164" t="e">
        <f ca="1"/>
        <v>#N/A</v>
      </c>
      <c r="N164" t="e">
        <f ca="1"/>
        <v>#N/A</v>
      </c>
      <c r="O164" t="e">
        <f ca="1"/>
        <v>#N/A</v>
      </c>
      <c r="P164" t="e">
        <f ca="1"/>
        <v>#N/A</v>
      </c>
      <c r="Q164" t="e">
        <f ca="1"/>
        <v>#N/A</v>
      </c>
      <c r="R164" t="e">
        <f ca="1"/>
        <v>#N/A</v>
      </c>
      <c r="S164" t="e">
        <f ca="1"/>
        <v>#N/A</v>
      </c>
      <c r="T164" t="e">
        <f ca="1"/>
        <v>#N/A</v>
      </c>
      <c r="U164" t="e">
        <f ca="1"/>
        <v>#N/A</v>
      </c>
    </row>
    <row r="165" spans="2:21" x14ac:dyDescent="0.25">
      <c r="B165" t="e">
        <f ca="1"/>
        <v>#N/A</v>
      </c>
      <c r="C165" t="e">
        <f ca="1"/>
        <v>#N/A</v>
      </c>
      <c r="D165" t="e">
        <f ca="1"/>
        <v>#N/A</v>
      </c>
      <c r="E165" t="e">
        <f ca="1"/>
        <v>#N/A</v>
      </c>
      <c r="F165" t="e">
        <f ca="1"/>
        <v>#N/A</v>
      </c>
      <c r="G165" t="e">
        <f ca="1"/>
        <v>#N/A</v>
      </c>
      <c r="H165" t="e">
        <f ca="1"/>
        <v>#N/A</v>
      </c>
      <c r="I165" t="e">
        <f ca="1"/>
        <v>#N/A</v>
      </c>
      <c r="J165" t="e">
        <f ca="1"/>
        <v>#N/A</v>
      </c>
      <c r="K165" t="e">
        <f ca="1"/>
        <v>#N/A</v>
      </c>
      <c r="L165" t="e">
        <f ca="1"/>
        <v>#N/A</v>
      </c>
      <c r="M165" t="e">
        <f ca="1"/>
        <v>#N/A</v>
      </c>
      <c r="N165" t="e">
        <f ca="1"/>
        <v>#N/A</v>
      </c>
      <c r="O165" t="e">
        <f ca="1"/>
        <v>#N/A</v>
      </c>
      <c r="P165" t="e">
        <f ca="1"/>
        <v>#N/A</v>
      </c>
      <c r="Q165" t="e">
        <f ca="1"/>
        <v>#N/A</v>
      </c>
      <c r="R165" t="e">
        <f ca="1"/>
        <v>#N/A</v>
      </c>
      <c r="S165" t="e">
        <f ca="1"/>
        <v>#N/A</v>
      </c>
      <c r="T165" t="e">
        <f ca="1"/>
        <v>#N/A</v>
      </c>
      <c r="U165" t="e">
        <f ca="1"/>
        <v>#N/A</v>
      </c>
    </row>
    <row r="166" spans="2:21" x14ac:dyDescent="0.25">
      <c r="B166" t="e">
        <f ca="1"/>
        <v>#N/A</v>
      </c>
      <c r="C166" t="e">
        <f ca="1"/>
        <v>#N/A</v>
      </c>
      <c r="D166" t="e">
        <f ca="1"/>
        <v>#N/A</v>
      </c>
      <c r="E166" t="e">
        <f ca="1"/>
        <v>#N/A</v>
      </c>
      <c r="F166" t="e">
        <f ca="1"/>
        <v>#N/A</v>
      </c>
      <c r="G166" t="e">
        <f ca="1"/>
        <v>#N/A</v>
      </c>
      <c r="H166" t="e">
        <f ca="1"/>
        <v>#N/A</v>
      </c>
      <c r="I166" t="e">
        <f ca="1"/>
        <v>#N/A</v>
      </c>
      <c r="J166" t="e">
        <f ca="1"/>
        <v>#N/A</v>
      </c>
      <c r="K166" t="e">
        <f ca="1"/>
        <v>#N/A</v>
      </c>
      <c r="L166" t="e">
        <f ca="1"/>
        <v>#N/A</v>
      </c>
      <c r="M166" t="e">
        <f ca="1"/>
        <v>#N/A</v>
      </c>
      <c r="N166" t="e">
        <f ca="1"/>
        <v>#N/A</v>
      </c>
      <c r="O166" t="e">
        <f ca="1"/>
        <v>#N/A</v>
      </c>
      <c r="P166" t="e">
        <f ca="1"/>
        <v>#N/A</v>
      </c>
      <c r="Q166" t="e">
        <f ca="1"/>
        <v>#N/A</v>
      </c>
      <c r="R166" t="e">
        <f ca="1"/>
        <v>#N/A</v>
      </c>
      <c r="S166" t="e">
        <f ca="1"/>
        <v>#N/A</v>
      </c>
      <c r="T166" t="e">
        <f ca="1"/>
        <v>#N/A</v>
      </c>
      <c r="U166" t="e">
        <f ca="1"/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95"/>
  <sheetViews>
    <sheetView workbookViewId="0">
      <selection activeCell="M9" sqref="M9"/>
    </sheetView>
  </sheetViews>
  <sheetFormatPr defaultRowHeight="15" x14ac:dyDescent="0.25"/>
  <cols>
    <col min="2" max="2" width="10.42578125" bestFit="1" customWidth="1"/>
    <col min="3" max="3" width="12.85546875" customWidth="1"/>
    <col min="4" max="4" width="10.42578125" bestFit="1" customWidth="1"/>
    <col min="5" max="5" width="12.42578125" customWidth="1"/>
    <col min="7" max="7" width="10.42578125" bestFit="1" customWidth="1"/>
    <col min="13" max="13" width="10.42578125" bestFit="1" customWidth="1"/>
    <col min="14" max="14" width="13.5703125" bestFit="1" customWidth="1"/>
    <col min="15" max="15" width="9.85546875" bestFit="1" customWidth="1"/>
  </cols>
  <sheetData>
    <row r="2" spans="2:15" x14ac:dyDescent="0.25">
      <c r="B2" t="s">
        <v>32</v>
      </c>
    </row>
    <row r="5" spans="2:15" x14ac:dyDescent="0.25">
      <c r="B5" t="str">
        <f ca="1">_xll.fUtility.PutDataTable("TABLE1",B7:E12)</f>
        <v>TABLE1</v>
      </c>
    </row>
    <row r="7" spans="2:15" x14ac:dyDescent="0.25">
      <c r="B7" t="s">
        <v>19</v>
      </c>
      <c r="C7" t="s">
        <v>20</v>
      </c>
      <c r="D7" t="s">
        <v>21</v>
      </c>
      <c r="E7" t="s">
        <v>24</v>
      </c>
    </row>
    <row r="8" spans="2:15" x14ac:dyDescent="0.25">
      <c r="B8" t="s">
        <v>22</v>
      </c>
      <c r="C8">
        <v>100</v>
      </c>
      <c r="D8" s="2">
        <f ca="1">TODAY()</f>
        <v>43044</v>
      </c>
      <c r="E8" t="s">
        <v>25</v>
      </c>
    </row>
    <row r="9" spans="2:15" x14ac:dyDescent="0.25">
      <c r="B9" t="s">
        <v>22</v>
      </c>
      <c r="C9">
        <v>200</v>
      </c>
      <c r="D9" s="2">
        <f ca="1">D8-3</f>
        <v>43041</v>
      </c>
      <c r="E9" t="s">
        <v>25</v>
      </c>
      <c r="M9" t="str">
        <f t="array" aca="1" ref="M9:O95" ca="1">_xll.fUtility.ListMemoryMap()</f>
        <v>KEY #</v>
      </c>
      <c r="N9" t="str">
        <f ca="1"/>
        <v>HANDLE</v>
      </c>
      <c r="O9" t="str">
        <f ca="1"/>
        <v>TYPE</v>
      </c>
    </row>
    <row r="10" spans="2:15" x14ac:dyDescent="0.25">
      <c r="B10" t="s">
        <v>23</v>
      </c>
      <c r="C10">
        <v>100</v>
      </c>
      <c r="D10" s="2">
        <f ca="1">D9-3</f>
        <v>43038</v>
      </c>
      <c r="E10" t="s">
        <v>25</v>
      </c>
      <c r="M10">
        <f ca="1"/>
        <v>1</v>
      </c>
      <c r="N10" t="str">
        <f ca="1"/>
        <v>SURNAME_TABLE</v>
      </c>
      <c r="O10" t="str">
        <f ca="1"/>
        <v>DataTable</v>
      </c>
    </row>
    <row r="11" spans="2:15" x14ac:dyDescent="0.25">
      <c r="B11" t="s">
        <v>23</v>
      </c>
      <c r="C11">
        <v>200</v>
      </c>
      <c r="D11" s="2">
        <f ca="1">D10-3</f>
        <v>43035</v>
      </c>
      <c r="E11" t="s">
        <v>26</v>
      </c>
      <c r="M11">
        <f ca="1"/>
        <v>2</v>
      </c>
      <c r="N11" t="str">
        <f ca="1"/>
        <v>INCOME_TABLE</v>
      </c>
      <c r="O11" t="str">
        <f ca="1"/>
        <v>DataTable</v>
      </c>
    </row>
    <row r="12" spans="2:15" x14ac:dyDescent="0.25">
      <c r="B12" t="s">
        <v>23</v>
      </c>
      <c r="C12">
        <v>300</v>
      </c>
      <c r="D12" s="2">
        <f ca="1">D11-3</f>
        <v>43032</v>
      </c>
      <c r="E12" t="s">
        <v>26</v>
      </c>
      <c r="M12">
        <f ca="1"/>
        <v>3</v>
      </c>
      <c r="N12" t="str">
        <f ca="1"/>
        <v>NORTHWIND1</v>
      </c>
      <c r="O12" t="str">
        <f ca="1"/>
        <v>DataTable</v>
      </c>
    </row>
    <row r="13" spans="2:15" x14ac:dyDescent="0.25">
      <c r="M13" t="e">
        <f ca="1"/>
        <v>#N/A</v>
      </c>
      <c r="N13" t="e">
        <f ca="1"/>
        <v>#N/A</v>
      </c>
      <c r="O13" t="e">
        <f ca="1"/>
        <v>#N/A</v>
      </c>
    </row>
    <row r="14" spans="2:15" x14ac:dyDescent="0.25">
      <c r="B14" t="s">
        <v>30</v>
      </c>
      <c r="C14" t="str">
        <f ca="1">"SELECT * FROM "&amp;B5&amp;" WHERE NAME = 'ANGELA' and FROM = 'FAMILY'"</f>
        <v>SELECT * FROM TABLE1 WHERE NAME = 'ANGELA' and FROM = 'FAMILY'</v>
      </c>
      <c r="M14" t="e">
        <f ca="1"/>
        <v>#N/A</v>
      </c>
      <c r="N14" t="e">
        <f ca="1"/>
        <v>#N/A</v>
      </c>
      <c r="O14" t="e">
        <f ca="1"/>
        <v>#N/A</v>
      </c>
    </row>
    <row r="15" spans="2:15" x14ac:dyDescent="0.25">
      <c r="M15" t="e">
        <f ca="1"/>
        <v>#N/A</v>
      </c>
      <c r="N15" t="e">
        <f ca="1"/>
        <v>#N/A</v>
      </c>
      <c r="O15" t="e">
        <f ca="1"/>
        <v>#N/A</v>
      </c>
    </row>
    <row r="16" spans="2:15" x14ac:dyDescent="0.25">
      <c r="B16" t="s">
        <v>31</v>
      </c>
      <c r="C16" t="str">
        <f ca="1">_xll.fUtility.QueryDataTableAndStore("TABLE2",C14,B2)</f>
        <v>TABLE2</v>
      </c>
      <c r="G16" s="3"/>
      <c r="M16" t="e">
        <f ca="1"/>
        <v>#N/A</v>
      </c>
      <c r="N16" t="e">
        <f ca="1"/>
        <v>#N/A</v>
      </c>
      <c r="O16" t="e">
        <f ca="1"/>
        <v>#N/A</v>
      </c>
    </row>
    <row r="17" spans="2:15" x14ac:dyDescent="0.25">
      <c r="M17" t="e">
        <f ca="1"/>
        <v>#N/A</v>
      </c>
      <c r="N17" t="e">
        <f ca="1"/>
        <v>#N/A</v>
      </c>
      <c r="O17" t="e">
        <f ca="1"/>
        <v>#N/A</v>
      </c>
    </row>
    <row r="18" spans="2:15" x14ac:dyDescent="0.25">
      <c r="B18" t="str">
        <f t="array" aca="1" ref="B18:E22" ca="1">_xll.fUtility.QueryDataTable(C14,B2)</f>
        <v>NAME</v>
      </c>
      <c r="C18" t="str">
        <f ca="1"/>
        <v>INCOME</v>
      </c>
      <c r="D18" t="str">
        <f ca="1"/>
        <v>DATE</v>
      </c>
      <c r="E18" t="str">
        <f ca="1"/>
        <v>FROM</v>
      </c>
      <c r="G18" t="str">
        <f t="array" aca="1" ref="G18:J22" ca="1">_xll.fUtility.GetDataTable(C16)</f>
        <v>NAME</v>
      </c>
      <c r="H18" t="str">
        <f ca="1"/>
        <v>INCOME</v>
      </c>
      <c r="I18" t="str">
        <f ca="1"/>
        <v>DATE</v>
      </c>
      <c r="J18" t="str">
        <f ca="1"/>
        <v>FROM</v>
      </c>
      <c r="M18" t="e">
        <f ca="1"/>
        <v>#N/A</v>
      </c>
      <c r="N18" t="e">
        <f ca="1"/>
        <v>#N/A</v>
      </c>
      <c r="O18" t="e">
        <f ca="1"/>
        <v>#N/A</v>
      </c>
    </row>
    <row r="19" spans="2:15" x14ac:dyDescent="0.25">
      <c r="B19" t="str">
        <f ca="1"/>
        <v>ANGELA</v>
      </c>
      <c r="C19" t="str">
        <f ca="1"/>
        <v>200</v>
      </c>
      <c r="D19" t="str">
        <f ca="1"/>
        <v>43035</v>
      </c>
      <c r="E19" t="str">
        <f ca="1"/>
        <v>FAMILY</v>
      </c>
      <c r="G19" t="str">
        <f ca="1"/>
        <v>ANGELA</v>
      </c>
      <c r="H19" t="str">
        <f ca="1"/>
        <v>200</v>
      </c>
      <c r="I19" t="str">
        <f ca="1"/>
        <v>43035</v>
      </c>
      <c r="J19" t="str">
        <f ca="1"/>
        <v>FAMILY</v>
      </c>
      <c r="M19" t="e">
        <f ca="1"/>
        <v>#N/A</v>
      </c>
      <c r="N19" t="e">
        <f ca="1"/>
        <v>#N/A</v>
      </c>
      <c r="O19" t="e">
        <f ca="1"/>
        <v>#N/A</v>
      </c>
    </row>
    <row r="20" spans="2:15" x14ac:dyDescent="0.25">
      <c r="B20" t="str">
        <f ca="1"/>
        <v>ANGELA</v>
      </c>
      <c r="C20" t="str">
        <f ca="1"/>
        <v>300</v>
      </c>
      <c r="D20" t="str">
        <f ca="1"/>
        <v>43032</v>
      </c>
      <c r="E20" t="str">
        <f ca="1"/>
        <v>FAMILY</v>
      </c>
      <c r="G20" t="str">
        <f ca="1"/>
        <v>ANGELA</v>
      </c>
      <c r="H20" t="str">
        <f ca="1"/>
        <v>300</v>
      </c>
      <c r="I20" t="str">
        <f ca="1"/>
        <v>43032</v>
      </c>
      <c r="J20" t="str">
        <f ca="1"/>
        <v>FAMILY</v>
      </c>
      <c r="M20" t="e">
        <f ca="1"/>
        <v>#N/A</v>
      </c>
      <c r="N20" t="e">
        <f ca="1"/>
        <v>#N/A</v>
      </c>
      <c r="O20" t="e">
        <f ca="1"/>
        <v>#N/A</v>
      </c>
    </row>
    <row r="21" spans="2:15" x14ac:dyDescent="0.25">
      <c r="B21" t="e">
        <f ca="1"/>
        <v>#N/A</v>
      </c>
      <c r="C21" t="e">
        <f ca="1"/>
        <v>#N/A</v>
      </c>
      <c r="D21" t="e">
        <f ca="1"/>
        <v>#N/A</v>
      </c>
      <c r="E21" t="e">
        <f ca="1"/>
        <v>#N/A</v>
      </c>
      <c r="G21" t="e">
        <f ca="1"/>
        <v>#N/A</v>
      </c>
      <c r="H21" t="e">
        <f ca="1"/>
        <v>#N/A</v>
      </c>
      <c r="I21" t="e">
        <f ca="1"/>
        <v>#N/A</v>
      </c>
      <c r="J21" t="e">
        <f ca="1"/>
        <v>#N/A</v>
      </c>
      <c r="M21" t="e">
        <f ca="1"/>
        <v>#N/A</v>
      </c>
      <c r="N21" t="e">
        <f ca="1"/>
        <v>#N/A</v>
      </c>
      <c r="O21" t="e">
        <f ca="1"/>
        <v>#N/A</v>
      </c>
    </row>
    <row r="22" spans="2:15" x14ac:dyDescent="0.25">
      <c r="B22" t="e">
        <f ca="1"/>
        <v>#N/A</v>
      </c>
      <c r="C22" t="e">
        <f ca="1"/>
        <v>#N/A</v>
      </c>
      <c r="D22" t="e">
        <f ca="1"/>
        <v>#N/A</v>
      </c>
      <c r="E22" t="e">
        <f ca="1"/>
        <v>#N/A</v>
      </c>
      <c r="G22" t="e">
        <f ca="1"/>
        <v>#N/A</v>
      </c>
      <c r="H22" t="e">
        <f ca="1"/>
        <v>#N/A</v>
      </c>
      <c r="I22" t="e">
        <f ca="1"/>
        <v>#N/A</v>
      </c>
      <c r="J22" t="e">
        <f ca="1"/>
        <v>#N/A</v>
      </c>
      <c r="M22" t="e">
        <f ca="1"/>
        <v>#N/A</v>
      </c>
      <c r="N22" t="e">
        <f ca="1"/>
        <v>#N/A</v>
      </c>
      <c r="O22" t="e">
        <f ca="1"/>
        <v>#N/A</v>
      </c>
    </row>
    <row r="23" spans="2:15" x14ac:dyDescent="0.25">
      <c r="M23" t="e">
        <f ca="1"/>
        <v>#N/A</v>
      </c>
      <c r="N23" t="e">
        <f ca="1"/>
        <v>#N/A</v>
      </c>
      <c r="O23" t="e">
        <f ca="1"/>
        <v>#N/A</v>
      </c>
    </row>
    <row r="24" spans="2:15" x14ac:dyDescent="0.25">
      <c r="B24" t="str">
        <f ca="1">"SELECT NAME, SUM(INCOME) as MYSUM FROM " &amp; B5&amp;" GROUP BY NAME"</f>
        <v>SELECT NAME, SUM(INCOME) as MYSUM FROM TABLE1 GROUP BY NAME</v>
      </c>
      <c r="M24" t="e">
        <f ca="1"/>
        <v>#N/A</v>
      </c>
      <c r="N24" t="e">
        <f ca="1"/>
        <v>#N/A</v>
      </c>
      <c r="O24" t="e">
        <f ca="1"/>
        <v>#N/A</v>
      </c>
    </row>
    <row r="25" spans="2:15" x14ac:dyDescent="0.25">
      <c r="M25" t="e">
        <f ca="1"/>
        <v>#N/A</v>
      </c>
      <c r="N25" t="e">
        <f ca="1"/>
        <v>#N/A</v>
      </c>
      <c r="O25" t="e">
        <f ca="1"/>
        <v>#N/A</v>
      </c>
    </row>
    <row r="26" spans="2:15" x14ac:dyDescent="0.25">
      <c r="B26" t="str">
        <f t="array" aca="1" ref="B26:D29" ca="1">_xll.fUtility.QueryDataTable(B24,B2)</f>
        <v>NAME</v>
      </c>
      <c r="C26" t="str">
        <f ca="1"/>
        <v>MYSUM</v>
      </c>
      <c r="D26" t="e">
        <f ca="1"/>
        <v>#N/A</v>
      </c>
      <c r="M26" t="e">
        <f ca="1"/>
        <v>#N/A</v>
      </c>
      <c r="N26" t="e">
        <f ca="1"/>
        <v>#N/A</v>
      </c>
      <c r="O26" t="e">
        <f ca="1"/>
        <v>#N/A</v>
      </c>
    </row>
    <row r="27" spans="2:15" x14ac:dyDescent="0.25">
      <c r="B27" t="str">
        <f ca="1"/>
        <v>ANGELA</v>
      </c>
      <c r="C27">
        <f ca="1"/>
        <v>600</v>
      </c>
      <c r="D27" t="e">
        <f ca="1"/>
        <v>#N/A</v>
      </c>
      <c r="M27" t="e">
        <f ca="1"/>
        <v>#N/A</v>
      </c>
      <c r="N27" t="e">
        <f ca="1"/>
        <v>#N/A</v>
      </c>
      <c r="O27" t="e">
        <f ca="1"/>
        <v>#N/A</v>
      </c>
    </row>
    <row r="28" spans="2:15" x14ac:dyDescent="0.25">
      <c r="B28" t="str">
        <f ca="1"/>
        <v>FREDERIK</v>
      </c>
      <c r="C28">
        <f ca="1"/>
        <v>300</v>
      </c>
      <c r="D28" t="e">
        <f ca="1"/>
        <v>#N/A</v>
      </c>
      <c r="M28" t="e">
        <f ca="1"/>
        <v>#N/A</v>
      </c>
      <c r="N28" t="e">
        <f ca="1"/>
        <v>#N/A</v>
      </c>
      <c r="O28" t="e">
        <f ca="1"/>
        <v>#N/A</v>
      </c>
    </row>
    <row r="29" spans="2:15" x14ac:dyDescent="0.25">
      <c r="B29" t="e">
        <f ca="1"/>
        <v>#N/A</v>
      </c>
      <c r="C29" t="e">
        <f ca="1"/>
        <v>#N/A</v>
      </c>
      <c r="D29" t="e">
        <f ca="1"/>
        <v>#N/A</v>
      </c>
      <c r="M29" t="e">
        <f ca="1"/>
        <v>#N/A</v>
      </c>
      <c r="N29" t="e">
        <f ca="1"/>
        <v>#N/A</v>
      </c>
      <c r="O29" t="e">
        <f ca="1"/>
        <v>#N/A</v>
      </c>
    </row>
    <row r="30" spans="2:15" x14ac:dyDescent="0.25">
      <c r="M30" t="e">
        <f ca="1"/>
        <v>#N/A</v>
      </c>
      <c r="N30" t="e">
        <f ca="1"/>
        <v>#N/A</v>
      </c>
      <c r="O30" t="e">
        <f ca="1"/>
        <v>#N/A</v>
      </c>
    </row>
    <row r="31" spans="2:15" x14ac:dyDescent="0.25">
      <c r="M31" t="e">
        <f ca="1"/>
        <v>#N/A</v>
      </c>
      <c r="N31" t="e">
        <f ca="1"/>
        <v>#N/A</v>
      </c>
      <c r="O31" t="e">
        <f ca="1"/>
        <v>#N/A</v>
      </c>
    </row>
    <row r="32" spans="2:15" x14ac:dyDescent="0.25">
      <c r="M32" t="e">
        <f ca="1"/>
        <v>#N/A</v>
      </c>
      <c r="N32" t="e">
        <f ca="1"/>
        <v>#N/A</v>
      </c>
      <c r="O32" t="e">
        <f ca="1"/>
        <v>#N/A</v>
      </c>
    </row>
    <row r="33" spans="13:15" x14ac:dyDescent="0.25">
      <c r="M33" t="e">
        <f ca="1"/>
        <v>#N/A</v>
      </c>
      <c r="N33" t="e">
        <f ca="1"/>
        <v>#N/A</v>
      </c>
      <c r="O33" t="e">
        <f ca="1"/>
        <v>#N/A</v>
      </c>
    </row>
    <row r="34" spans="13:15" x14ac:dyDescent="0.25">
      <c r="M34" t="e">
        <f ca="1"/>
        <v>#N/A</v>
      </c>
      <c r="N34" t="e">
        <f ca="1"/>
        <v>#N/A</v>
      </c>
      <c r="O34" t="e">
        <f ca="1"/>
        <v>#N/A</v>
      </c>
    </row>
    <row r="35" spans="13:15" x14ac:dyDescent="0.25">
      <c r="M35" t="e">
        <f ca="1"/>
        <v>#N/A</v>
      </c>
      <c r="N35" t="e">
        <f ca="1"/>
        <v>#N/A</v>
      </c>
      <c r="O35" t="e">
        <f ca="1"/>
        <v>#N/A</v>
      </c>
    </row>
    <row r="36" spans="13:15" x14ac:dyDescent="0.25">
      <c r="M36" t="e">
        <f ca="1"/>
        <v>#N/A</v>
      </c>
      <c r="N36" t="e">
        <f ca="1"/>
        <v>#N/A</v>
      </c>
      <c r="O36" t="e">
        <f ca="1"/>
        <v>#N/A</v>
      </c>
    </row>
    <row r="37" spans="13:15" x14ac:dyDescent="0.25">
      <c r="M37" t="e">
        <f ca="1"/>
        <v>#N/A</v>
      </c>
      <c r="N37" t="e">
        <f ca="1"/>
        <v>#N/A</v>
      </c>
      <c r="O37" t="e">
        <f ca="1"/>
        <v>#N/A</v>
      </c>
    </row>
    <row r="38" spans="13:15" x14ac:dyDescent="0.25">
      <c r="M38" t="e">
        <f ca="1"/>
        <v>#N/A</v>
      </c>
      <c r="N38" t="e">
        <f ca="1"/>
        <v>#N/A</v>
      </c>
      <c r="O38" t="e">
        <f ca="1"/>
        <v>#N/A</v>
      </c>
    </row>
    <row r="39" spans="13:15" x14ac:dyDescent="0.25">
      <c r="M39" t="e">
        <f ca="1"/>
        <v>#N/A</v>
      </c>
      <c r="N39" t="e">
        <f ca="1"/>
        <v>#N/A</v>
      </c>
      <c r="O39" t="e">
        <f ca="1"/>
        <v>#N/A</v>
      </c>
    </row>
    <row r="40" spans="13:15" x14ac:dyDescent="0.25">
      <c r="M40" t="e">
        <f ca="1"/>
        <v>#N/A</v>
      </c>
      <c r="N40" t="e">
        <f ca="1"/>
        <v>#N/A</v>
      </c>
      <c r="O40" t="e">
        <f ca="1"/>
        <v>#N/A</v>
      </c>
    </row>
    <row r="41" spans="13:15" x14ac:dyDescent="0.25">
      <c r="M41" t="e">
        <f ca="1"/>
        <v>#N/A</v>
      </c>
      <c r="N41" t="e">
        <f ca="1"/>
        <v>#N/A</v>
      </c>
      <c r="O41" t="e">
        <f ca="1"/>
        <v>#N/A</v>
      </c>
    </row>
    <row r="42" spans="13:15" x14ac:dyDescent="0.25">
      <c r="M42" t="e">
        <f ca="1"/>
        <v>#N/A</v>
      </c>
      <c r="N42" t="e">
        <f ca="1"/>
        <v>#N/A</v>
      </c>
      <c r="O42" t="e">
        <f ca="1"/>
        <v>#N/A</v>
      </c>
    </row>
    <row r="43" spans="13:15" x14ac:dyDescent="0.25">
      <c r="M43" t="e">
        <f ca="1"/>
        <v>#N/A</v>
      </c>
      <c r="N43" t="e">
        <f ca="1"/>
        <v>#N/A</v>
      </c>
      <c r="O43" t="e">
        <f ca="1"/>
        <v>#N/A</v>
      </c>
    </row>
    <row r="44" spans="13:15" x14ac:dyDescent="0.25">
      <c r="M44" t="e">
        <f ca="1"/>
        <v>#N/A</v>
      </c>
      <c r="N44" t="e">
        <f ca="1"/>
        <v>#N/A</v>
      </c>
      <c r="O44" t="e">
        <f ca="1"/>
        <v>#N/A</v>
      </c>
    </row>
    <row r="45" spans="13:15" x14ac:dyDescent="0.25">
      <c r="M45" t="e">
        <f ca="1"/>
        <v>#N/A</v>
      </c>
      <c r="N45" t="e">
        <f ca="1"/>
        <v>#N/A</v>
      </c>
      <c r="O45" t="e">
        <f ca="1"/>
        <v>#N/A</v>
      </c>
    </row>
    <row r="46" spans="13:15" x14ac:dyDescent="0.25">
      <c r="M46" t="e">
        <f ca="1"/>
        <v>#N/A</v>
      </c>
      <c r="N46" t="e">
        <f ca="1"/>
        <v>#N/A</v>
      </c>
      <c r="O46" t="e">
        <f ca="1"/>
        <v>#N/A</v>
      </c>
    </row>
    <row r="47" spans="13:15" x14ac:dyDescent="0.25">
      <c r="M47" t="e">
        <f ca="1"/>
        <v>#N/A</v>
      </c>
      <c r="N47" t="e">
        <f ca="1"/>
        <v>#N/A</v>
      </c>
      <c r="O47" t="e">
        <f ca="1"/>
        <v>#N/A</v>
      </c>
    </row>
    <row r="48" spans="13:15" x14ac:dyDescent="0.25">
      <c r="M48" t="e">
        <f ca="1"/>
        <v>#N/A</v>
      </c>
      <c r="N48" t="e">
        <f ca="1"/>
        <v>#N/A</v>
      </c>
      <c r="O48" t="e">
        <f ca="1"/>
        <v>#N/A</v>
      </c>
    </row>
    <row r="49" spans="13:15" x14ac:dyDescent="0.25">
      <c r="M49" t="e">
        <f ca="1"/>
        <v>#N/A</v>
      </c>
      <c r="N49" t="e">
        <f ca="1"/>
        <v>#N/A</v>
      </c>
      <c r="O49" t="e">
        <f ca="1"/>
        <v>#N/A</v>
      </c>
    </row>
    <row r="50" spans="13:15" x14ac:dyDescent="0.25">
      <c r="M50" t="e">
        <f ca="1"/>
        <v>#N/A</v>
      </c>
      <c r="N50" t="e">
        <f ca="1"/>
        <v>#N/A</v>
      </c>
      <c r="O50" t="e">
        <f ca="1"/>
        <v>#N/A</v>
      </c>
    </row>
    <row r="51" spans="13:15" x14ac:dyDescent="0.25">
      <c r="M51" t="e">
        <f ca="1"/>
        <v>#N/A</v>
      </c>
      <c r="N51" t="e">
        <f ca="1"/>
        <v>#N/A</v>
      </c>
      <c r="O51" t="e">
        <f ca="1"/>
        <v>#N/A</v>
      </c>
    </row>
    <row r="52" spans="13:15" x14ac:dyDescent="0.25">
      <c r="M52" t="e">
        <f ca="1"/>
        <v>#N/A</v>
      </c>
      <c r="N52" t="e">
        <f ca="1"/>
        <v>#N/A</v>
      </c>
      <c r="O52" t="e">
        <f ca="1"/>
        <v>#N/A</v>
      </c>
    </row>
    <row r="53" spans="13:15" x14ac:dyDescent="0.25">
      <c r="M53" t="e">
        <f ca="1"/>
        <v>#N/A</v>
      </c>
      <c r="N53" t="e">
        <f ca="1"/>
        <v>#N/A</v>
      </c>
      <c r="O53" t="e">
        <f ca="1"/>
        <v>#N/A</v>
      </c>
    </row>
    <row r="54" spans="13:15" x14ac:dyDescent="0.25">
      <c r="M54" t="e">
        <f ca="1"/>
        <v>#N/A</v>
      </c>
      <c r="N54" t="e">
        <f ca="1"/>
        <v>#N/A</v>
      </c>
      <c r="O54" t="e">
        <f ca="1"/>
        <v>#N/A</v>
      </c>
    </row>
    <row r="55" spans="13:15" x14ac:dyDescent="0.25">
      <c r="M55" t="e">
        <f ca="1"/>
        <v>#N/A</v>
      </c>
      <c r="N55" t="e">
        <f ca="1"/>
        <v>#N/A</v>
      </c>
      <c r="O55" t="e">
        <f ca="1"/>
        <v>#N/A</v>
      </c>
    </row>
    <row r="56" spans="13:15" x14ac:dyDescent="0.25">
      <c r="M56" t="e">
        <f ca="1"/>
        <v>#N/A</v>
      </c>
      <c r="N56" t="e">
        <f ca="1"/>
        <v>#N/A</v>
      </c>
      <c r="O56" t="e">
        <f ca="1"/>
        <v>#N/A</v>
      </c>
    </row>
    <row r="57" spans="13:15" x14ac:dyDescent="0.25">
      <c r="M57" t="e">
        <f ca="1"/>
        <v>#N/A</v>
      </c>
      <c r="N57" t="e">
        <f ca="1"/>
        <v>#N/A</v>
      </c>
      <c r="O57" t="e">
        <f ca="1"/>
        <v>#N/A</v>
      </c>
    </row>
    <row r="58" spans="13:15" x14ac:dyDescent="0.25">
      <c r="M58" t="e">
        <f ca="1"/>
        <v>#N/A</v>
      </c>
      <c r="N58" t="e">
        <f ca="1"/>
        <v>#N/A</v>
      </c>
      <c r="O58" t="e">
        <f ca="1"/>
        <v>#N/A</v>
      </c>
    </row>
    <row r="59" spans="13:15" x14ac:dyDescent="0.25">
      <c r="M59" t="e">
        <f ca="1"/>
        <v>#N/A</v>
      </c>
      <c r="N59" t="e">
        <f ca="1"/>
        <v>#N/A</v>
      </c>
      <c r="O59" t="e">
        <f ca="1"/>
        <v>#N/A</v>
      </c>
    </row>
    <row r="60" spans="13:15" x14ac:dyDescent="0.25">
      <c r="M60" t="e">
        <f ca="1"/>
        <v>#N/A</v>
      </c>
      <c r="N60" t="e">
        <f ca="1"/>
        <v>#N/A</v>
      </c>
      <c r="O60" t="e">
        <f ca="1"/>
        <v>#N/A</v>
      </c>
    </row>
    <row r="61" spans="13:15" x14ac:dyDescent="0.25">
      <c r="M61" t="e">
        <f ca="1"/>
        <v>#N/A</v>
      </c>
      <c r="N61" t="e">
        <f ca="1"/>
        <v>#N/A</v>
      </c>
      <c r="O61" t="e">
        <f ca="1"/>
        <v>#N/A</v>
      </c>
    </row>
    <row r="62" spans="13:15" x14ac:dyDescent="0.25">
      <c r="M62" t="e">
        <f ca="1"/>
        <v>#N/A</v>
      </c>
      <c r="N62" t="e">
        <f ca="1"/>
        <v>#N/A</v>
      </c>
      <c r="O62" t="e">
        <f ca="1"/>
        <v>#N/A</v>
      </c>
    </row>
    <row r="63" spans="13:15" x14ac:dyDescent="0.25">
      <c r="M63" t="e">
        <f ca="1"/>
        <v>#N/A</v>
      </c>
      <c r="N63" t="e">
        <f ca="1"/>
        <v>#N/A</v>
      </c>
      <c r="O63" t="e">
        <f ca="1"/>
        <v>#N/A</v>
      </c>
    </row>
    <row r="64" spans="13:15" x14ac:dyDescent="0.25">
      <c r="M64" t="e">
        <f ca="1"/>
        <v>#N/A</v>
      </c>
      <c r="N64" t="e">
        <f ca="1"/>
        <v>#N/A</v>
      </c>
      <c r="O64" t="e">
        <f ca="1"/>
        <v>#N/A</v>
      </c>
    </row>
    <row r="65" spans="13:15" x14ac:dyDescent="0.25">
      <c r="M65" t="e">
        <f ca="1"/>
        <v>#N/A</v>
      </c>
      <c r="N65" t="e">
        <f ca="1"/>
        <v>#N/A</v>
      </c>
      <c r="O65" t="e">
        <f ca="1"/>
        <v>#N/A</v>
      </c>
    </row>
    <row r="66" spans="13:15" x14ac:dyDescent="0.25">
      <c r="M66" t="e">
        <f ca="1"/>
        <v>#N/A</v>
      </c>
      <c r="N66" t="e">
        <f ca="1"/>
        <v>#N/A</v>
      </c>
      <c r="O66" t="e">
        <f ca="1"/>
        <v>#N/A</v>
      </c>
    </row>
    <row r="67" spans="13:15" x14ac:dyDescent="0.25">
      <c r="M67" t="e">
        <f ca="1"/>
        <v>#N/A</v>
      </c>
      <c r="N67" t="e">
        <f ca="1"/>
        <v>#N/A</v>
      </c>
      <c r="O67" t="e">
        <f ca="1"/>
        <v>#N/A</v>
      </c>
    </row>
    <row r="68" spans="13:15" x14ac:dyDescent="0.25">
      <c r="M68" t="e">
        <f ca="1"/>
        <v>#N/A</v>
      </c>
      <c r="N68" t="e">
        <f ca="1"/>
        <v>#N/A</v>
      </c>
      <c r="O68" t="e">
        <f ca="1"/>
        <v>#N/A</v>
      </c>
    </row>
    <row r="69" spans="13:15" x14ac:dyDescent="0.25">
      <c r="M69" t="e">
        <f ca="1"/>
        <v>#N/A</v>
      </c>
      <c r="N69" t="e">
        <f ca="1"/>
        <v>#N/A</v>
      </c>
      <c r="O69" t="e">
        <f ca="1"/>
        <v>#N/A</v>
      </c>
    </row>
    <row r="70" spans="13:15" x14ac:dyDescent="0.25">
      <c r="M70" t="e">
        <f ca="1"/>
        <v>#N/A</v>
      </c>
      <c r="N70" t="e">
        <f ca="1"/>
        <v>#N/A</v>
      </c>
      <c r="O70" t="e">
        <f ca="1"/>
        <v>#N/A</v>
      </c>
    </row>
    <row r="71" spans="13:15" x14ac:dyDescent="0.25">
      <c r="M71" t="e">
        <f ca="1"/>
        <v>#N/A</v>
      </c>
      <c r="N71" t="e">
        <f ca="1"/>
        <v>#N/A</v>
      </c>
      <c r="O71" t="e">
        <f ca="1"/>
        <v>#N/A</v>
      </c>
    </row>
    <row r="72" spans="13:15" x14ac:dyDescent="0.25">
      <c r="M72" t="e">
        <f ca="1"/>
        <v>#N/A</v>
      </c>
      <c r="N72" t="e">
        <f ca="1"/>
        <v>#N/A</v>
      </c>
      <c r="O72" t="e">
        <f ca="1"/>
        <v>#N/A</v>
      </c>
    </row>
    <row r="73" spans="13:15" x14ac:dyDescent="0.25">
      <c r="M73" t="e">
        <f ca="1"/>
        <v>#N/A</v>
      </c>
      <c r="N73" t="e">
        <f ca="1"/>
        <v>#N/A</v>
      </c>
      <c r="O73" t="e">
        <f ca="1"/>
        <v>#N/A</v>
      </c>
    </row>
    <row r="74" spans="13:15" x14ac:dyDescent="0.25">
      <c r="M74" t="e">
        <f ca="1"/>
        <v>#N/A</v>
      </c>
      <c r="N74" t="e">
        <f ca="1"/>
        <v>#N/A</v>
      </c>
      <c r="O74" t="e">
        <f ca="1"/>
        <v>#N/A</v>
      </c>
    </row>
    <row r="75" spans="13:15" x14ac:dyDescent="0.25">
      <c r="M75" t="e">
        <f ca="1"/>
        <v>#N/A</v>
      </c>
      <c r="N75" t="e">
        <f ca="1"/>
        <v>#N/A</v>
      </c>
      <c r="O75" t="e">
        <f ca="1"/>
        <v>#N/A</v>
      </c>
    </row>
    <row r="76" spans="13:15" x14ac:dyDescent="0.25">
      <c r="M76" t="e">
        <f ca="1"/>
        <v>#N/A</v>
      </c>
      <c r="N76" t="e">
        <f ca="1"/>
        <v>#N/A</v>
      </c>
      <c r="O76" t="e">
        <f ca="1"/>
        <v>#N/A</v>
      </c>
    </row>
    <row r="77" spans="13:15" x14ac:dyDescent="0.25">
      <c r="M77" t="e">
        <f ca="1"/>
        <v>#N/A</v>
      </c>
      <c r="N77" t="e">
        <f ca="1"/>
        <v>#N/A</v>
      </c>
      <c r="O77" t="e">
        <f ca="1"/>
        <v>#N/A</v>
      </c>
    </row>
    <row r="78" spans="13:15" x14ac:dyDescent="0.25">
      <c r="M78" t="e">
        <f ca="1"/>
        <v>#N/A</v>
      </c>
      <c r="N78" t="e">
        <f ca="1"/>
        <v>#N/A</v>
      </c>
      <c r="O78" t="e">
        <f ca="1"/>
        <v>#N/A</v>
      </c>
    </row>
    <row r="79" spans="13:15" x14ac:dyDescent="0.25">
      <c r="M79" t="e">
        <f ca="1"/>
        <v>#N/A</v>
      </c>
      <c r="N79" t="e">
        <f ca="1"/>
        <v>#N/A</v>
      </c>
      <c r="O79" t="e">
        <f ca="1"/>
        <v>#N/A</v>
      </c>
    </row>
    <row r="80" spans="13:15" x14ac:dyDescent="0.25">
      <c r="M80" t="e">
        <f ca="1"/>
        <v>#N/A</v>
      </c>
      <c r="N80" t="e">
        <f ca="1"/>
        <v>#N/A</v>
      </c>
      <c r="O80" t="e">
        <f ca="1"/>
        <v>#N/A</v>
      </c>
    </row>
    <row r="81" spans="13:15" x14ac:dyDescent="0.25">
      <c r="M81" t="e">
        <f ca="1"/>
        <v>#N/A</v>
      </c>
      <c r="N81" t="e">
        <f ca="1"/>
        <v>#N/A</v>
      </c>
      <c r="O81" t="e">
        <f ca="1"/>
        <v>#N/A</v>
      </c>
    </row>
    <row r="82" spans="13:15" x14ac:dyDescent="0.25">
      <c r="M82" t="e">
        <f ca="1"/>
        <v>#N/A</v>
      </c>
      <c r="N82" t="e">
        <f ca="1"/>
        <v>#N/A</v>
      </c>
      <c r="O82" t="e">
        <f ca="1"/>
        <v>#N/A</v>
      </c>
    </row>
    <row r="83" spans="13:15" x14ac:dyDescent="0.25">
      <c r="M83" t="e">
        <f ca="1"/>
        <v>#N/A</v>
      </c>
      <c r="N83" t="e">
        <f ca="1"/>
        <v>#N/A</v>
      </c>
      <c r="O83" t="e">
        <f ca="1"/>
        <v>#N/A</v>
      </c>
    </row>
    <row r="84" spans="13:15" x14ac:dyDescent="0.25">
      <c r="M84" t="e">
        <f ca="1"/>
        <v>#N/A</v>
      </c>
      <c r="N84" t="e">
        <f ca="1"/>
        <v>#N/A</v>
      </c>
      <c r="O84" t="e">
        <f ca="1"/>
        <v>#N/A</v>
      </c>
    </row>
    <row r="85" spans="13:15" x14ac:dyDescent="0.25">
      <c r="M85" t="e">
        <f ca="1"/>
        <v>#N/A</v>
      </c>
      <c r="N85" t="e">
        <f ca="1"/>
        <v>#N/A</v>
      </c>
      <c r="O85" t="e">
        <f ca="1"/>
        <v>#N/A</v>
      </c>
    </row>
    <row r="86" spans="13:15" x14ac:dyDescent="0.25">
      <c r="M86" t="e">
        <f ca="1"/>
        <v>#N/A</v>
      </c>
      <c r="N86" t="e">
        <f ca="1"/>
        <v>#N/A</v>
      </c>
      <c r="O86" t="e">
        <f ca="1"/>
        <v>#N/A</v>
      </c>
    </row>
    <row r="87" spans="13:15" x14ac:dyDescent="0.25">
      <c r="M87" t="e">
        <f ca="1"/>
        <v>#N/A</v>
      </c>
      <c r="N87" t="e">
        <f ca="1"/>
        <v>#N/A</v>
      </c>
      <c r="O87" t="e">
        <f ca="1"/>
        <v>#N/A</v>
      </c>
    </row>
    <row r="88" spans="13:15" x14ac:dyDescent="0.25">
      <c r="M88" t="e">
        <f ca="1"/>
        <v>#N/A</v>
      </c>
      <c r="N88" t="e">
        <f ca="1"/>
        <v>#N/A</v>
      </c>
      <c r="O88" t="e">
        <f ca="1"/>
        <v>#N/A</v>
      </c>
    </row>
    <row r="89" spans="13:15" x14ac:dyDescent="0.25">
      <c r="M89" t="e">
        <f ca="1"/>
        <v>#N/A</v>
      </c>
      <c r="N89" t="e">
        <f ca="1"/>
        <v>#N/A</v>
      </c>
      <c r="O89" t="e">
        <f ca="1"/>
        <v>#N/A</v>
      </c>
    </row>
    <row r="90" spans="13:15" x14ac:dyDescent="0.25">
      <c r="M90" t="e">
        <f ca="1"/>
        <v>#N/A</v>
      </c>
      <c r="N90" t="e">
        <f ca="1"/>
        <v>#N/A</v>
      </c>
      <c r="O90" t="e">
        <f ca="1"/>
        <v>#N/A</v>
      </c>
    </row>
    <row r="91" spans="13:15" x14ac:dyDescent="0.25">
      <c r="M91" t="e">
        <f ca="1"/>
        <v>#N/A</v>
      </c>
      <c r="N91" t="e">
        <f ca="1"/>
        <v>#N/A</v>
      </c>
      <c r="O91" t="e">
        <f ca="1"/>
        <v>#N/A</v>
      </c>
    </row>
    <row r="92" spans="13:15" x14ac:dyDescent="0.25">
      <c r="M92" t="e">
        <f ca="1"/>
        <v>#N/A</v>
      </c>
      <c r="N92" t="e">
        <f ca="1"/>
        <v>#N/A</v>
      </c>
      <c r="O92" t="e">
        <f ca="1"/>
        <v>#N/A</v>
      </c>
    </row>
    <row r="93" spans="13:15" x14ac:dyDescent="0.25">
      <c r="M93" t="e">
        <f ca="1"/>
        <v>#N/A</v>
      </c>
      <c r="N93" t="e">
        <f ca="1"/>
        <v>#N/A</v>
      </c>
      <c r="O93" t="e">
        <f ca="1"/>
        <v>#N/A</v>
      </c>
    </row>
    <row r="94" spans="13:15" x14ac:dyDescent="0.25">
      <c r="M94" t="e">
        <f ca="1"/>
        <v>#N/A</v>
      </c>
      <c r="N94" t="e">
        <f ca="1"/>
        <v>#N/A</v>
      </c>
      <c r="O94" t="e">
        <f ca="1"/>
        <v>#N/A</v>
      </c>
    </row>
    <row r="95" spans="13:15" x14ac:dyDescent="0.25">
      <c r="M95" t="e">
        <f ca="1"/>
        <v>#N/A</v>
      </c>
      <c r="N95" t="e">
        <f ca="1"/>
        <v>#N/A</v>
      </c>
      <c r="O95" t="e">
        <f ca="1"/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34"/>
  <sheetViews>
    <sheetView workbookViewId="0">
      <selection activeCell="G14" sqref="G14"/>
    </sheetView>
  </sheetViews>
  <sheetFormatPr defaultRowHeight="15" x14ac:dyDescent="0.25"/>
  <cols>
    <col min="2" max="2" width="35.28515625" customWidth="1"/>
    <col min="3" max="3" width="8.28515625" bestFit="1" customWidth="1"/>
    <col min="4" max="4" width="10.42578125" bestFit="1" customWidth="1"/>
  </cols>
  <sheetData>
    <row r="2" spans="2:14" x14ac:dyDescent="0.25">
      <c r="B2" t="s">
        <v>32</v>
      </c>
    </row>
    <row r="4" spans="2:14" x14ac:dyDescent="0.25">
      <c r="B4" t="s">
        <v>37</v>
      </c>
      <c r="G4" t="s">
        <v>36</v>
      </c>
    </row>
    <row r="5" spans="2:14" x14ac:dyDescent="0.25">
      <c r="B5" t="str">
        <f ca="1">_xll.fUtility.PutDataTable(B4,B7:E12)</f>
        <v>INCOME_TABLE</v>
      </c>
      <c r="G5" t="str">
        <f ca="1">_xll.fUtility.PutDataTable(G4,G7:H9)</f>
        <v>SURNAME_TABLE</v>
      </c>
    </row>
    <row r="7" spans="2:14" x14ac:dyDescent="0.25">
      <c r="B7" t="s">
        <v>19</v>
      </c>
      <c r="C7" t="s">
        <v>20</v>
      </c>
      <c r="D7" t="s">
        <v>21</v>
      </c>
      <c r="E7" t="s">
        <v>24</v>
      </c>
      <c r="G7" t="s">
        <v>38</v>
      </c>
      <c r="H7" t="s">
        <v>33</v>
      </c>
    </row>
    <row r="8" spans="2:14" x14ac:dyDescent="0.25">
      <c r="B8" t="s">
        <v>22</v>
      </c>
      <c r="C8">
        <v>100</v>
      </c>
      <c r="D8" s="2">
        <f ca="1">TODAY()</f>
        <v>43044</v>
      </c>
      <c r="E8" t="s">
        <v>25</v>
      </c>
      <c r="G8" t="s">
        <v>22</v>
      </c>
      <c r="H8" t="s">
        <v>34</v>
      </c>
      <c r="M8" t="str">
        <f t="array" aca="1" ref="M8:M14" ca="1">_xll.fUtility.DataTables.GetFields(B16)</f>
        <v>NAME</v>
      </c>
      <c r="N8">
        <f ca="1">_xll.fUtility.DataTables.GetColumnCount(B16)</f>
        <v>4</v>
      </c>
    </row>
    <row r="9" spans="2:14" x14ac:dyDescent="0.25">
      <c r="B9" t="s">
        <v>22</v>
      </c>
      <c r="C9">
        <v>200</v>
      </c>
      <c r="D9" s="2">
        <f ca="1">D8-3</f>
        <v>43041</v>
      </c>
      <c r="E9" t="s">
        <v>25</v>
      </c>
      <c r="G9" t="s">
        <v>23</v>
      </c>
      <c r="H9" t="s">
        <v>35</v>
      </c>
      <c r="M9" t="str">
        <f ca="1"/>
        <v>INCOME</v>
      </c>
      <c r="N9">
        <f ca="1">_xll.fUtility.DataTables.GetRowCount(B16)</f>
        <v>5</v>
      </c>
    </row>
    <row r="10" spans="2:14" x14ac:dyDescent="0.25">
      <c r="B10" t="s">
        <v>23</v>
      </c>
      <c r="C10">
        <v>100</v>
      </c>
      <c r="D10" s="2">
        <f ca="1">D9-3</f>
        <v>43038</v>
      </c>
      <c r="E10" t="s">
        <v>25</v>
      </c>
      <c r="M10" t="str">
        <f ca="1"/>
        <v>DATE</v>
      </c>
    </row>
    <row r="11" spans="2:14" x14ac:dyDescent="0.25">
      <c r="B11" t="s">
        <v>44</v>
      </c>
      <c r="C11">
        <v>200</v>
      </c>
      <c r="D11" s="2">
        <f ca="1">D10-3</f>
        <v>43035</v>
      </c>
      <c r="E11" t="s">
        <v>26</v>
      </c>
      <c r="M11" t="str">
        <f ca="1"/>
        <v>FROM</v>
      </c>
    </row>
    <row r="12" spans="2:14" x14ac:dyDescent="0.25">
      <c r="B12" t="s">
        <v>23</v>
      </c>
      <c r="C12">
        <v>300</v>
      </c>
      <c r="D12" s="2">
        <f ca="1">D11-3</f>
        <v>43032</v>
      </c>
      <c r="E12" t="s">
        <v>26</v>
      </c>
      <c r="M12" t="e">
        <f ca="1"/>
        <v>#N/A</v>
      </c>
    </row>
    <row r="13" spans="2:14" x14ac:dyDescent="0.25">
      <c r="M13" t="e">
        <f ca="1"/>
        <v>#N/A</v>
      </c>
    </row>
    <row r="14" spans="2:14" x14ac:dyDescent="0.25">
      <c r="B14" t="s">
        <v>27</v>
      </c>
      <c r="M14" t="e">
        <f ca="1"/>
        <v>#N/A</v>
      </c>
    </row>
    <row r="16" spans="2:14" x14ac:dyDescent="0.25">
      <c r="B16" t="str">
        <f ca="1">B5</f>
        <v>INCOME_TABLE</v>
      </c>
    </row>
    <row r="17" spans="2:10" x14ac:dyDescent="0.25">
      <c r="B17" t="str">
        <f ca="1">G5</f>
        <v>SURNAME_TABLE</v>
      </c>
    </row>
    <row r="18" spans="2:10" x14ac:dyDescent="0.25">
      <c r="J18" t="s">
        <v>39</v>
      </c>
    </row>
    <row r="19" spans="2:10" x14ac:dyDescent="0.25">
      <c r="J19" t="s">
        <v>41</v>
      </c>
    </row>
    <row r="20" spans="2:10" x14ac:dyDescent="0.25">
      <c r="J20" t="s">
        <v>40</v>
      </c>
    </row>
    <row r="21" spans="2:10" x14ac:dyDescent="0.25">
      <c r="B21" t="str">
        <f t="array" aca="1" ref="B21:G27" ca="1">_xll.fUtility.QueryDataTables("JOINED_TABLE",_xll.fUtility.ReadSql(J18:J21),B2,B16:B17)</f>
        <v>NAME</v>
      </c>
      <c r="C21" t="str">
        <f ca="1"/>
        <v>INCOME</v>
      </c>
      <c r="D21" t="str">
        <f ca="1"/>
        <v>DATE</v>
      </c>
      <c r="E21" t="str">
        <f ca="1"/>
        <v>FROM</v>
      </c>
      <c r="F21" t="str">
        <f ca="1"/>
        <v>MYNAME</v>
      </c>
      <c r="G21" t="str">
        <f ca="1"/>
        <v>SURNAME</v>
      </c>
      <c r="J21" t="s">
        <v>43</v>
      </c>
    </row>
    <row r="22" spans="2:10" x14ac:dyDescent="0.25">
      <c r="B22" t="str">
        <f ca="1"/>
        <v>FREDERIK</v>
      </c>
      <c r="C22" t="str">
        <f ca="1"/>
        <v>100</v>
      </c>
      <c r="D22" t="str">
        <f ca="1"/>
        <v>43044</v>
      </c>
      <c r="E22" t="str">
        <f ca="1"/>
        <v>WORK</v>
      </c>
      <c r="F22" t="str">
        <f ca="1"/>
        <v>FREDERIK</v>
      </c>
      <c r="G22" t="str">
        <f ca="1"/>
        <v>AMRIS</v>
      </c>
    </row>
    <row r="23" spans="2:10" x14ac:dyDescent="0.25">
      <c r="B23" t="str">
        <f ca="1"/>
        <v>FREDERIK</v>
      </c>
      <c r="C23" t="str">
        <f ca="1"/>
        <v>200</v>
      </c>
      <c r="D23" t="str">
        <f ca="1"/>
        <v>43041</v>
      </c>
      <c r="E23" t="str">
        <f ca="1"/>
        <v>WORK</v>
      </c>
      <c r="F23" t="str">
        <f ca="1"/>
        <v>FREDERIK</v>
      </c>
      <c r="G23" t="str">
        <f ca="1"/>
        <v>AMRIS</v>
      </c>
    </row>
    <row r="24" spans="2:10" x14ac:dyDescent="0.25">
      <c r="B24" t="str">
        <f ca="1"/>
        <v>ANGELA</v>
      </c>
      <c r="C24" t="str">
        <f ca="1"/>
        <v>100</v>
      </c>
      <c r="D24" t="str">
        <f ca="1"/>
        <v>43038</v>
      </c>
      <c r="E24" t="str">
        <f ca="1"/>
        <v>WORK</v>
      </c>
      <c r="F24" t="str">
        <f ca="1"/>
        <v>ANGELA</v>
      </c>
      <c r="G24" t="str">
        <f ca="1"/>
        <v>MUNRO</v>
      </c>
    </row>
    <row r="25" spans="2:10" x14ac:dyDescent="0.25">
      <c r="B25" t="str">
        <f ca="1"/>
        <v>Angela</v>
      </c>
      <c r="C25" t="str">
        <f ca="1"/>
        <v>200</v>
      </c>
      <c r="D25" t="str">
        <f ca="1"/>
        <v>43035</v>
      </c>
      <c r="E25" t="str">
        <f ca="1"/>
        <v>FAMILY</v>
      </c>
      <c r="F25" t="str">
        <f ca="1"/>
        <v/>
      </c>
      <c r="G25" t="str">
        <f ca="1"/>
        <v/>
      </c>
    </row>
    <row r="26" spans="2:10" x14ac:dyDescent="0.25">
      <c r="B26" t="str">
        <f ca="1"/>
        <v>ANGELA</v>
      </c>
      <c r="C26" t="str">
        <f ca="1"/>
        <v>300</v>
      </c>
      <c r="D26" t="str">
        <f ca="1"/>
        <v>43032</v>
      </c>
      <c r="E26" t="str">
        <f ca="1"/>
        <v>FAMILY</v>
      </c>
      <c r="F26" t="str">
        <f ca="1"/>
        <v>ANGELA</v>
      </c>
      <c r="G26" t="str">
        <f ca="1"/>
        <v>MUNRO</v>
      </c>
    </row>
    <row r="27" spans="2:10" x14ac:dyDescent="0.25">
      <c r="B27" t="e">
        <f ca="1"/>
        <v>#N/A</v>
      </c>
      <c r="C27" t="e">
        <f ca="1"/>
        <v>#N/A</v>
      </c>
      <c r="D27" t="e">
        <f ca="1"/>
        <v>#N/A</v>
      </c>
      <c r="E27" t="e">
        <f ca="1"/>
        <v>#N/A</v>
      </c>
      <c r="F27" t="e">
        <f ca="1"/>
        <v>#N/A</v>
      </c>
      <c r="G27" t="e">
        <f ca="1"/>
        <v>#N/A</v>
      </c>
    </row>
    <row r="29" spans="2:10" x14ac:dyDescent="0.25">
      <c r="B29" t="s">
        <v>42</v>
      </c>
    </row>
    <row r="31" spans="2:10" x14ac:dyDescent="0.25">
      <c r="B31" t="str">
        <f t="array" aca="1" ref="B31:D34" ca="1">_xll.fUtility.QueryDataTable(B29,B2)</f>
        <v>ERROR: DataTable + INCOME_TABLE does not exist in the object map.</v>
      </c>
      <c r="C31" t="str">
        <f ca="1"/>
        <v>ERROR: DataTable + INCOME_TABLE does not exist in the object map.</v>
      </c>
      <c r="D31" t="str">
        <f ca="1"/>
        <v>ERROR: DataTable + INCOME_TABLE does not exist in the object map.</v>
      </c>
    </row>
    <row r="32" spans="2:10" x14ac:dyDescent="0.25">
      <c r="B32" t="str">
        <f ca="1"/>
        <v>ERROR: DataTable + INCOME_TABLE does not exist in the object map.</v>
      </c>
      <c r="C32" t="str">
        <f ca="1"/>
        <v>ERROR: DataTable + INCOME_TABLE does not exist in the object map.</v>
      </c>
      <c r="D32" t="str">
        <f ca="1"/>
        <v>ERROR: DataTable + INCOME_TABLE does not exist in the object map.</v>
      </c>
    </row>
    <row r="33" spans="2:4" x14ac:dyDescent="0.25">
      <c r="B33" t="str">
        <f ca="1"/>
        <v>ERROR: DataTable + INCOME_TABLE does not exist in the object map.</v>
      </c>
      <c r="C33" t="str">
        <f ca="1"/>
        <v>ERROR: DataTable + INCOME_TABLE does not exist in the object map.</v>
      </c>
      <c r="D33" t="str">
        <f ca="1"/>
        <v>ERROR: DataTable + INCOME_TABLE does not exist in the object map.</v>
      </c>
    </row>
    <row r="34" spans="2:4" x14ac:dyDescent="0.25">
      <c r="B34" t="str">
        <f ca="1"/>
        <v>ERROR: DataTable + INCOME_TABLE does not exist in the object map.</v>
      </c>
      <c r="C34" t="str">
        <f ca="1"/>
        <v>ERROR: DataTable + INCOME_TABLE does not exist in the object map.</v>
      </c>
      <c r="D34" t="str">
        <f ca="1"/>
        <v>ERROR: DataTable + INCOME_TABLE does not exist in the object map.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B5"/>
  <sheetViews>
    <sheetView workbookViewId="0">
      <selection activeCell="B5" sqref="B5"/>
    </sheetView>
  </sheetViews>
  <sheetFormatPr defaultRowHeight="15" x14ac:dyDescent="0.25"/>
  <sheetData>
    <row r="4" spans="2:2" x14ac:dyDescent="0.25">
      <c r="B4" s="1" t="s">
        <v>4</v>
      </c>
    </row>
    <row r="5" spans="2:2" x14ac:dyDescent="0.25">
      <c r="B5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SQLTest</vt:lpstr>
      <vt:lpstr>Sheet3</vt:lpstr>
      <vt:lpstr>JoinTest</vt:lpstr>
      <vt:lpstr>FunctionOverview</vt:lpstr>
      <vt:lpstr>rAddinName</vt:lpstr>
      <vt:lpstr>rPath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Frederik Amris</dc:creator>
  <cp:lastModifiedBy>Frederik Amris</cp:lastModifiedBy>
  <dcterms:created xsi:type="dcterms:W3CDTF">2017-11-05T08:50:04Z</dcterms:created>
  <dcterms:modified xsi:type="dcterms:W3CDTF">2017-11-05T18:35:02Z</dcterms:modified>
</cp:coreProperties>
</file>